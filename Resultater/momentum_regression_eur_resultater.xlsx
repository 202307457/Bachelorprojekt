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akoblysdahl/Documents/Dokumenter – MacBook Air (2)/Dokumenter./Bachelor/"/>
    </mc:Choice>
  </mc:AlternateContent>
  <xr:revisionPtr revIDLastSave="0" documentId="13_ncr:1_{AC951EE0-5410-DD4E-9F4F-D9541F0D526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ADME" sheetId="1" r:id="rId1"/>
    <sheet name="Results_WML" sheetId="2" r:id="rId2"/>
    <sheet name="Results_WML_minus_RF" sheetId="3" r:id="rId3"/>
    <sheet name="Alpha_Matrix_WML" sheetId="4" r:id="rId4"/>
    <sheet name="Alpha_T_Matrix_WML" sheetId="5" r:id="rId5"/>
    <sheet name="Alpha_P_Matrix_WML" sheetId="6" r:id="rId6"/>
    <sheet name="Alpha_Matrix_Excess" sheetId="7" r:id="rId7"/>
    <sheet name="Alpha_T_Matrix_Excess" sheetId="8" r:id="rId8"/>
    <sheet name="Alpha_P_Matrix_Excess" sheetId="9" r:id="rId9"/>
    <sheet name="Factor_Loadings" sheetId="10" r:id="rId10"/>
    <sheet name="Descriptive_Stats" sheetId="11" r:id="rId11"/>
    <sheet name="Data_Use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2" l="1"/>
  <c r="M28" i="2"/>
  <c r="M27" i="2"/>
  <c r="M26" i="2"/>
  <c r="S22" i="2"/>
  <c r="Q22" i="2"/>
  <c r="O22" i="2"/>
  <c r="M22" i="2"/>
</calcChain>
</file>

<file path=xl/sharedStrings.xml><?xml version="1.0" encoding="utf-8"?>
<sst xmlns="http://schemas.openxmlformats.org/spreadsheetml/2006/main" count="429" uniqueCount="165">
  <si>
    <t>Momentum regression i EUR - metode og enheder</t>
  </si>
  <si>
    <t>Punkt</t>
  </si>
  <si>
    <t>Forklaring</t>
  </si>
  <si>
    <t>Afhængig variabel</t>
  </si>
  <si>
    <t>Primær regression bruger WML i decimalform. Output rapporterer alfa i procent pr. måned.</t>
  </si>
  <si>
    <t>Faktorer</t>
  </si>
  <si>
    <t>MKT_RF_EUR, SMB_EUR og HML_EUR anvendes som forklarende variable.</t>
  </si>
  <si>
    <t>Valutaomregning</t>
  </si>
  <si>
    <t>Newey-West</t>
  </si>
  <si>
    <t>Standardfejl beregnes med Newey-West og lag = K - 1.</t>
  </si>
  <si>
    <t>Alfa-enhed</t>
  </si>
  <si>
    <t>Alle alfaer i resultattabeller og alfa-matricer er i procent pr. måned.</t>
  </si>
  <si>
    <t>Robusthedstest</t>
  </si>
  <si>
    <t>Separat regression med WML - RF_EUR på venstresiden er inkluderet.</t>
  </si>
  <si>
    <t>Regression: WML på Fama-French faktorer i EUR</t>
  </si>
  <si>
    <t>Alfa rapporteres i procent pr. måned. Newey-West standardfejl med lag = K - 1.</t>
  </si>
  <si>
    <t>Specifikation</t>
  </si>
  <si>
    <t>Strategi</t>
  </si>
  <si>
    <t>J</t>
  </si>
  <si>
    <t>K</t>
  </si>
  <si>
    <t>N</t>
  </si>
  <si>
    <t>NW_lag</t>
  </si>
  <si>
    <t>Start</t>
  </si>
  <si>
    <t>Slut</t>
  </si>
  <si>
    <t>Alpha_pct_pr_måned</t>
  </si>
  <si>
    <t>Alpha_se_pct</t>
  </si>
  <si>
    <t>Alpha_t</t>
  </si>
  <si>
    <t>Alpha_p</t>
  </si>
  <si>
    <t>MKT_RF_beta</t>
  </si>
  <si>
    <t>MKT_RF_t</t>
  </si>
  <si>
    <t>SMB_beta</t>
  </si>
  <si>
    <t>SMB_t</t>
  </si>
  <si>
    <t>HML_beta</t>
  </si>
  <si>
    <t>HML_t</t>
  </si>
  <si>
    <t>R2</t>
  </si>
  <si>
    <t>Adj_R2</t>
  </si>
  <si>
    <t>Resid_sd_pct</t>
  </si>
  <si>
    <t>WML</t>
  </si>
  <si>
    <t>J3_K3</t>
  </si>
  <si>
    <t>J3_K6</t>
  </si>
  <si>
    <t>J3_K9</t>
  </si>
  <si>
    <t>J3_K12</t>
  </si>
  <si>
    <t>J6_K3</t>
  </si>
  <si>
    <t>J6_K6</t>
  </si>
  <si>
    <t>J6_K9</t>
  </si>
  <si>
    <t>J6_K12</t>
  </si>
  <si>
    <t>J9_K3</t>
  </si>
  <si>
    <t>J9_K6</t>
  </si>
  <si>
    <t>J9_K9</t>
  </si>
  <si>
    <t>J9_K12</t>
  </si>
  <si>
    <t>J12_K3</t>
  </si>
  <si>
    <t>J12_K6</t>
  </si>
  <si>
    <t>J12_K9</t>
  </si>
  <si>
    <t>J12_K12</t>
  </si>
  <si>
    <t>Robusthedstest: WML - RF_EUR på Fama-French faktorer i EUR</t>
  </si>
  <si>
    <t>Alfa rapporteres i procent pr. måned. Denne specifikation er medtaget til sammenligning.</t>
  </si>
  <si>
    <t>WML_minus_RF</t>
  </si>
  <si>
    <t>Alfa-matrix for WML-regression</t>
  </si>
  <si>
    <t>Alle alfaer er i procent pr. måned.</t>
  </si>
  <si>
    <t>K3</t>
  </si>
  <si>
    <t>K6</t>
  </si>
  <si>
    <t>K9</t>
  </si>
  <si>
    <t>K12</t>
  </si>
  <si>
    <t>J3</t>
  </si>
  <si>
    <t>J6</t>
  </si>
  <si>
    <t>J9</t>
  </si>
  <si>
    <t>J12</t>
  </si>
  <si>
    <t>Alfa t-statistik matrix for WML-regression</t>
  </si>
  <si>
    <t>T-statistikker for alfa. Newey-West standardfejl med lag = K - 1.</t>
  </si>
  <si>
    <t>Alfa p-værdi matrix for WML-regression</t>
  </si>
  <si>
    <t>P-værdier for test af H0: alfa = 0.</t>
  </si>
  <si>
    <t>Alfa-matrix for robusthedstest WML - RF_EUR</t>
  </si>
  <si>
    <t>Alfa t-statistik matrix for robusthedstest WML - RF_EUR</t>
  </si>
  <si>
    <t>Alfa p-værdi matrix for robusthedstest WML - RF_EUR</t>
  </si>
  <si>
    <t>Faktorloadings og t-statistikker</t>
  </si>
  <si>
    <t>Betaer viser eksponering mod markeds-, size- og valuefaktoren.</t>
  </si>
  <si>
    <t>Deskriptiv statistik for WML-strategier</t>
  </si>
  <si>
    <t>Afkastmål er rapporteret i procent pr. måned.</t>
  </si>
  <si>
    <t>måned</t>
  </si>
  <si>
    <t>pct</t>
  </si>
  <si>
    <t>J3_K3_Mean_pct_pr</t>
  </si>
  <si>
    <t>J3_K3_SD</t>
  </si>
  <si>
    <t>J3_K3_Min</t>
  </si>
  <si>
    <t>J3_K3_Max</t>
  </si>
  <si>
    <t>J3_K6_Mean_pct_pr</t>
  </si>
  <si>
    <t>J3_K6_SD</t>
  </si>
  <si>
    <t>J3_K6_Min</t>
  </si>
  <si>
    <t>J3_K6_Max</t>
  </si>
  <si>
    <t>J3_K9_Mean_pct_pr</t>
  </si>
  <si>
    <t>J3_K9_SD</t>
  </si>
  <si>
    <t>J3_K9_Min</t>
  </si>
  <si>
    <t>J3_K9_Max</t>
  </si>
  <si>
    <t>J3_K12_Mean_pct_pr</t>
  </si>
  <si>
    <t>J3_K12_SD</t>
  </si>
  <si>
    <t>J3_K12_Min</t>
  </si>
  <si>
    <t>J3_K12_Max</t>
  </si>
  <si>
    <t>J6_K3_Mean_pct_pr</t>
  </si>
  <si>
    <t>J6_K3_SD</t>
  </si>
  <si>
    <t>J6_K3_Min</t>
  </si>
  <si>
    <t>J6_K3_Max</t>
  </si>
  <si>
    <t>J6_K6_Mean_pct_pr</t>
  </si>
  <si>
    <t>J6_K6_SD</t>
  </si>
  <si>
    <t>J6_K6_Min</t>
  </si>
  <si>
    <t>J6_K6_Max</t>
  </si>
  <si>
    <t>J6_K9_Mean_pct_pr</t>
  </si>
  <si>
    <t>J6_K9_SD</t>
  </si>
  <si>
    <t>J6_K9_Min</t>
  </si>
  <si>
    <t>J6_K9_Max</t>
  </si>
  <si>
    <t>J6_K12_Mean_pct_pr</t>
  </si>
  <si>
    <t>J6_K12_SD</t>
  </si>
  <si>
    <t>J6_K12_Min</t>
  </si>
  <si>
    <t>J6_K12_Max</t>
  </si>
  <si>
    <t>J9_K3_Mean_pct_pr</t>
  </si>
  <si>
    <t>J9_K3_SD</t>
  </si>
  <si>
    <t>J9_K3_Min</t>
  </si>
  <si>
    <t>J9_K3_Max</t>
  </si>
  <si>
    <t>J9_K6_Mean_pct_pr</t>
  </si>
  <si>
    <t>J9_K6_SD</t>
  </si>
  <si>
    <t>J9_K6_Min</t>
  </si>
  <si>
    <t>J9_K6_Max</t>
  </si>
  <si>
    <t>J9_K9_Mean_pct_pr</t>
  </si>
  <si>
    <t>J9_K9_SD</t>
  </si>
  <si>
    <t>J9_K9_Min</t>
  </si>
  <si>
    <t>J9_K9_Max</t>
  </si>
  <si>
    <t>J9_K12_Mean_pct_pr</t>
  </si>
  <si>
    <t>J9_K12_SD</t>
  </si>
  <si>
    <t>J9_K12_Min</t>
  </si>
  <si>
    <t>J9_K12_Max</t>
  </si>
  <si>
    <t>J12_K3_Mean_pct_pr</t>
  </si>
  <si>
    <t>J12_K3_SD</t>
  </si>
  <si>
    <t>J12_K3_Min</t>
  </si>
  <si>
    <t>J12_K3_Max</t>
  </si>
  <si>
    <t>J12_K6_Mean_pct_pr</t>
  </si>
  <si>
    <t>J12_K6_SD</t>
  </si>
  <si>
    <t>J12_K6_Min</t>
  </si>
  <si>
    <t>J12_K6_Max</t>
  </si>
  <si>
    <t>J12_K9_Mean_pct_pr</t>
  </si>
  <si>
    <t>J12_K9_SD</t>
  </si>
  <si>
    <t>J12_K9_Min</t>
  </si>
  <si>
    <t>J12_K9_Max</t>
  </si>
  <si>
    <t>J12_K12_Mean_pct_pr</t>
  </si>
  <si>
    <t>J12_K12_SD</t>
  </si>
  <si>
    <t>J12_K12_Min</t>
  </si>
  <si>
    <t>J12_K12_Max</t>
  </si>
  <si>
    <t>Datagrundlag efter valutaomregning</t>
  </si>
  <si>
    <t>Faktorer i EUR er beregnet i dette ark.</t>
  </si>
  <si>
    <t>Date</t>
  </si>
  <si>
    <t>Mkt-RF</t>
  </si>
  <si>
    <t>SMB</t>
  </si>
  <si>
    <t>HML</t>
  </si>
  <si>
    <t>RF</t>
  </si>
  <si>
    <t>USDEUR=R Middle Price</t>
  </si>
  <si>
    <t>FX_ret</t>
  </si>
  <si>
    <t>Mkt_RF_USD</t>
  </si>
  <si>
    <t>SMB_USD</t>
  </si>
  <si>
    <t>HML_USD</t>
  </si>
  <si>
    <t>RF_USD</t>
  </si>
  <si>
    <t>RF_EUR</t>
  </si>
  <si>
    <t>MKT_EUR</t>
  </si>
  <si>
    <t>MKT_RF_EUR</t>
  </si>
  <si>
    <t>SMB_EUR</t>
  </si>
  <si>
    <t>HML_EUR</t>
  </si>
  <si>
    <t>Faktor</t>
  </si>
  <si>
    <t>Gennemsnitlig loading</t>
  </si>
  <si>
    <t>Fama-French faktorer er angivet i USD og procent. De omregnes til EUR med USDEUR=R Middle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</si>
</sst>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4" fontId="1" fillId="0" borderId="0" xfId="0" applyNumberFormat="1" applyFont="1"/>
    <xf numFmtId="0" fontId="3" fillId="2" borderId="1" xfId="0" applyFont="1" applyFill="1" applyBorder="1"/>
    <xf numFmtId="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rocent" xfId="1" builtinId="5"/>
  </cellStyles>
  <dxfs count="1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3:B9" totalsRowShown="0">
  <autoFilter ref="A3:B9" xr:uid="{00000000-0009-0000-0100-000003000000}"/>
  <tableColumns count="2">
    <tableColumn id="1" xr3:uid="{00000000-0010-0000-0000-000001000000}" name="Punkt"/>
    <tableColumn id="2" xr3:uid="{00000000-0010-0000-0000-000002000000}" name="Forkla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4:U20" totalsRowShown="0">
  <autoFilter ref="A4:U20" xr:uid="{00000000-0009-0000-0100-000004000000}"/>
  <tableColumns count="21">
    <tableColumn id="1" xr3:uid="{00000000-0010-0000-0100-000001000000}" name="Specifikation"/>
    <tableColumn id="2" xr3:uid="{00000000-0010-0000-0100-000002000000}" name="Strategi"/>
    <tableColumn id="3" xr3:uid="{00000000-0010-0000-0100-000003000000}" name="J"/>
    <tableColumn id="4" xr3:uid="{00000000-0010-0000-0100-000004000000}" name="K"/>
    <tableColumn id="5" xr3:uid="{00000000-0010-0000-0100-000005000000}" name="N"/>
    <tableColumn id="6" xr3:uid="{00000000-0010-0000-0100-000006000000}" name="NW_lag"/>
    <tableColumn id="7" xr3:uid="{00000000-0010-0000-0100-000007000000}" name="Start"/>
    <tableColumn id="8" xr3:uid="{00000000-0010-0000-0100-000008000000}" name="Slut"/>
    <tableColumn id="9" xr3:uid="{00000000-0010-0000-0100-000009000000}" name="Alpha_pct_pr_måned"/>
    <tableColumn id="10" xr3:uid="{00000000-0010-0000-0100-00000A000000}" name="Alpha_se_pct"/>
    <tableColumn id="11" xr3:uid="{00000000-0010-0000-0100-00000B000000}" name="Alpha_t"/>
    <tableColumn id="12" xr3:uid="{00000000-0010-0000-0100-00000C000000}" name="Alpha_p"/>
    <tableColumn id="13" xr3:uid="{00000000-0010-0000-0100-00000D000000}" name="MKT_RF_beta"/>
    <tableColumn id="14" xr3:uid="{00000000-0010-0000-0100-00000E000000}" name="MKT_RF_t"/>
    <tableColumn id="15" xr3:uid="{00000000-0010-0000-0100-00000F000000}" name="SMB_beta"/>
    <tableColumn id="16" xr3:uid="{00000000-0010-0000-0100-000010000000}" name="SMB_t"/>
    <tableColumn id="17" xr3:uid="{00000000-0010-0000-0100-000011000000}" name="HML_beta"/>
    <tableColumn id="18" xr3:uid="{00000000-0010-0000-0100-000012000000}" name="HML_t"/>
    <tableColumn id="19" xr3:uid="{00000000-0010-0000-0100-000013000000}" name="R2"/>
    <tableColumn id="20" xr3:uid="{00000000-0010-0000-0100-000014000000}" name="Adj_R2"/>
    <tableColumn id="21" xr3:uid="{00000000-0010-0000-0100-000015000000}" name="Resid_sd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U20" totalsRowShown="0">
  <autoFilter ref="A4:U20" xr:uid="{00000000-0009-0000-0100-000005000000}"/>
  <tableColumns count="21">
    <tableColumn id="1" xr3:uid="{00000000-0010-0000-0200-000001000000}" name="Specifikation"/>
    <tableColumn id="2" xr3:uid="{00000000-0010-0000-0200-000002000000}" name="Strategi"/>
    <tableColumn id="3" xr3:uid="{00000000-0010-0000-0200-000003000000}" name="J"/>
    <tableColumn id="4" xr3:uid="{00000000-0010-0000-0200-000004000000}" name="K"/>
    <tableColumn id="5" xr3:uid="{00000000-0010-0000-0200-000005000000}" name="N"/>
    <tableColumn id="6" xr3:uid="{00000000-0010-0000-0200-000006000000}" name="NW_lag"/>
    <tableColumn id="7" xr3:uid="{00000000-0010-0000-0200-000007000000}" name="Start"/>
    <tableColumn id="8" xr3:uid="{00000000-0010-0000-0200-000008000000}" name="Slut"/>
    <tableColumn id="9" xr3:uid="{00000000-0010-0000-0200-000009000000}" name="Alpha_pct_pr_måned"/>
    <tableColumn id="10" xr3:uid="{00000000-0010-0000-0200-00000A000000}" name="Alpha_se_pct"/>
    <tableColumn id="11" xr3:uid="{00000000-0010-0000-0200-00000B000000}" name="Alpha_t"/>
    <tableColumn id="12" xr3:uid="{00000000-0010-0000-0200-00000C000000}" name="Alpha_p"/>
    <tableColumn id="13" xr3:uid="{00000000-0010-0000-0200-00000D000000}" name="MKT_RF_beta"/>
    <tableColumn id="14" xr3:uid="{00000000-0010-0000-0200-00000E000000}" name="MKT_RF_t"/>
    <tableColumn id="15" xr3:uid="{00000000-0010-0000-0200-00000F000000}" name="SMB_beta"/>
    <tableColumn id="16" xr3:uid="{00000000-0010-0000-0200-000010000000}" name="SMB_t"/>
    <tableColumn id="17" xr3:uid="{00000000-0010-0000-0200-000011000000}" name="HML_beta"/>
    <tableColumn id="18" xr3:uid="{00000000-0010-0000-0200-000012000000}" name="HML_t"/>
    <tableColumn id="19" xr3:uid="{00000000-0010-0000-0200-000013000000}" name="R2"/>
    <tableColumn id="20" xr3:uid="{00000000-0010-0000-0200-000014000000}" name="Adj_R2"/>
    <tableColumn id="21" xr3:uid="{00000000-0010-0000-0200-000015000000}" name="Resid_sd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4:E8" totalsRowShown="0">
  <autoFilter ref="A4:E8" xr:uid="{00000000-0009-0000-0100-000006000000}"/>
  <tableColumns count="5">
    <tableColumn id="1" xr3:uid="{00000000-0010-0000-0300-000001000000}" name="J"/>
    <tableColumn id="2" xr3:uid="{00000000-0010-0000-0300-000002000000}" name="K3"/>
    <tableColumn id="3" xr3:uid="{00000000-0010-0000-0300-000003000000}" name="K6"/>
    <tableColumn id="4" xr3:uid="{00000000-0010-0000-0300-000004000000}" name="K9"/>
    <tableColumn id="5" xr3:uid="{00000000-0010-0000-0300-000005000000}" name="K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B1DBD-36C7-C54D-95BA-070EB5D3B990}" name="Table62" displayName="Table62" ref="A13:E17" totalsRowShown="0">
  <tableColumns count="5">
    <tableColumn id="1" xr3:uid="{C27043ED-79F7-6949-8BD9-19A9BDAA6BCA}" name="J"/>
    <tableColumn id="2" xr3:uid="{DA229ED2-954C-604A-A90F-7FA66FE16745}" name="K3" dataDxfId="15"/>
    <tableColumn id="3" xr3:uid="{C24B4563-E1F5-4E46-8BA9-486EDAC5BA01}" name="K6" dataDxfId="14"/>
    <tableColumn id="4" xr3:uid="{F6FFE5B7-36F4-F549-9EDC-C2991244C907}" name="K9" dataDxfId="13"/>
    <tableColumn id="5" xr3:uid="{0E67166F-BC14-1F48-91FE-6C75F03DC86E}" name="K12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4:E8" totalsRowShown="0">
  <autoFilter ref="A4:E8" xr:uid="{00000000-0009-0000-0100-000007000000}"/>
  <tableColumns count="5">
    <tableColumn id="1" xr3:uid="{00000000-0010-0000-0400-000001000000}" name="J"/>
    <tableColumn id="2" xr3:uid="{00000000-0010-0000-0400-000002000000}" name="K3"/>
    <tableColumn id="3" xr3:uid="{00000000-0010-0000-0400-000003000000}" name="K6"/>
    <tableColumn id="4" xr3:uid="{00000000-0010-0000-0400-000004000000}" name="K9"/>
    <tableColumn id="5" xr3:uid="{00000000-0010-0000-0400-000005000000}" name="K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2E84E-F285-BA49-9477-F87A154BED91}" name="Table73" displayName="Table73" ref="A11:E15" totalsRowShown="0">
  <tableColumns count="5">
    <tableColumn id="1" xr3:uid="{58FF0AAA-B7A1-6B4D-9C92-2149419F65B2}" name="J"/>
    <tableColumn id="2" xr3:uid="{4F64EE95-531E-8941-891B-95F937824FA2}" name="K3" dataDxfId="11"/>
    <tableColumn id="3" xr3:uid="{2CBC6932-78F0-0E4C-9E51-6A80931AF27F}" name="K6" dataDxfId="10"/>
    <tableColumn id="4" xr3:uid="{D0F44ACD-7F8E-1648-9DA8-3E907095FF1F}" name="K9" dataDxfId="9"/>
    <tableColumn id="5" xr3:uid="{2C380ABA-4B9C-3443-8E74-46B74C1098D4}" name="K12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4:E8" totalsRowShown="0">
  <autoFilter ref="A4:E8" xr:uid="{00000000-0009-0000-0100-000008000000}"/>
  <tableColumns count="5">
    <tableColumn id="1" xr3:uid="{00000000-0010-0000-0500-000001000000}" name="J"/>
    <tableColumn id="2" xr3:uid="{00000000-0010-0000-0500-000002000000}" name="K3"/>
    <tableColumn id="3" xr3:uid="{00000000-0010-0000-0500-000003000000}" name="K6"/>
    <tableColumn id="4" xr3:uid="{00000000-0010-0000-0500-000004000000}" name="K9"/>
    <tableColumn id="5" xr3:uid="{00000000-0010-0000-0500-000005000000}" name="K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4:E8" totalsRowShown="0">
  <autoFilter ref="A4:E8" xr:uid="{00000000-0009-0000-0100-000009000000}"/>
  <tableColumns count="5">
    <tableColumn id="1" xr3:uid="{00000000-0010-0000-0600-000001000000}" name="J"/>
    <tableColumn id="2" xr3:uid="{00000000-0010-0000-0600-000002000000}" name="K3"/>
    <tableColumn id="3" xr3:uid="{00000000-0010-0000-0600-000003000000}" name="K6"/>
    <tableColumn id="4" xr3:uid="{00000000-0010-0000-0600-000004000000}" name="K9"/>
    <tableColumn id="5" xr3:uid="{00000000-0010-0000-0600-000005000000}" name="K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F6897FA-45BE-354C-8A0F-B58105DF26EB}" name="Table916" displayName="Table916" ref="A11:E15" totalsRowShown="0">
  <tableColumns count="5">
    <tableColumn id="1" xr3:uid="{16A31993-E207-F14F-99B5-DFF787B03643}" name="J"/>
    <tableColumn id="2" xr3:uid="{E484E61C-ACC4-664E-A452-DB4F091C3EE2}" name="K3" dataDxfId="7"/>
    <tableColumn id="3" xr3:uid="{F275E14E-661B-8F44-AE99-D208DB10FF8F}" name="K6" dataDxfId="6"/>
    <tableColumn id="4" xr3:uid="{115733C8-9951-4C4E-BBBC-526E216299CE}" name="K9" dataDxfId="5"/>
    <tableColumn id="5" xr3:uid="{6A3FD8E1-3326-AD4D-8C59-5FFD87754A93}" name="K12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4:E8" totalsRowShown="0">
  <autoFilter ref="A4:E8" xr:uid="{00000000-0009-0000-0100-00000A000000}"/>
  <tableColumns count="5">
    <tableColumn id="1" xr3:uid="{00000000-0010-0000-0700-000001000000}" name="J"/>
    <tableColumn id="2" xr3:uid="{00000000-0010-0000-0700-000002000000}" name="K3"/>
    <tableColumn id="3" xr3:uid="{00000000-0010-0000-0700-000003000000}" name="K6"/>
    <tableColumn id="4" xr3:uid="{00000000-0010-0000-0700-000004000000}" name="K9"/>
    <tableColumn id="5" xr3:uid="{00000000-0010-0000-0700-000005000000}" name="K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6553D34-1F9B-CE4C-A0C3-86468BF3968F}" name="Table1017" displayName="Table1017" ref="A11:E15" totalsRowShown="0">
  <tableColumns count="5">
    <tableColumn id="1" xr3:uid="{11062E65-2E2A-4F4F-B7AC-499878A73C89}" name="J"/>
    <tableColumn id="2" xr3:uid="{F7FCD611-B4DE-4E4B-B698-C27E0982E617}" name="K3" dataDxfId="3"/>
    <tableColumn id="3" xr3:uid="{ADFBB86E-E77E-6943-925E-A5BFCE4B453B}" name="K6" dataDxfId="2"/>
    <tableColumn id="4" xr3:uid="{1E331FE1-92DE-0346-B004-3BF2890C4E80}" name="K9" dataDxfId="1"/>
    <tableColumn id="5" xr3:uid="{DC2B1BEB-E7D8-2F4C-8C75-868FB8478C5C}" name="K12" dataDxfId="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4:E8" totalsRowShown="0">
  <autoFilter ref="A4:E8" xr:uid="{00000000-0009-0000-0100-00000B000000}"/>
  <tableColumns count="5">
    <tableColumn id="1" xr3:uid="{00000000-0010-0000-0800-000001000000}" name="J"/>
    <tableColumn id="2" xr3:uid="{00000000-0010-0000-0800-000002000000}" name="K3"/>
    <tableColumn id="3" xr3:uid="{00000000-0010-0000-0800-000003000000}" name="K6"/>
    <tableColumn id="4" xr3:uid="{00000000-0010-0000-0800-000004000000}" name="K9"/>
    <tableColumn id="5" xr3:uid="{00000000-0010-0000-0800-000005000000}" name="K1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12" displayName="Table12" ref="A4:J36" totalsRowShown="0">
  <autoFilter ref="A4:J36" xr:uid="{00000000-0009-0000-0100-00000C000000}"/>
  <tableColumns count="10">
    <tableColumn id="1" xr3:uid="{00000000-0010-0000-0900-000001000000}" name="Specifikation"/>
    <tableColumn id="2" xr3:uid="{00000000-0010-0000-0900-000002000000}" name="Strategi"/>
    <tableColumn id="3" xr3:uid="{00000000-0010-0000-0900-000003000000}" name="J"/>
    <tableColumn id="4" xr3:uid="{00000000-0010-0000-0900-000004000000}" name="K"/>
    <tableColumn id="5" xr3:uid="{00000000-0010-0000-0900-000005000000}" name="MKT_RF_beta"/>
    <tableColumn id="6" xr3:uid="{00000000-0010-0000-0900-000006000000}" name="MKT_RF_t"/>
    <tableColumn id="7" xr3:uid="{00000000-0010-0000-0900-000007000000}" name="SMB_beta"/>
    <tableColumn id="8" xr3:uid="{00000000-0010-0000-0900-000008000000}" name="SMB_t"/>
    <tableColumn id="9" xr3:uid="{00000000-0010-0000-0900-000009000000}" name="HML_beta"/>
    <tableColumn id="10" xr3:uid="{00000000-0010-0000-0900-00000A000000}" name="HML_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13" displayName="Table13" ref="A4:D84" totalsRowShown="0">
  <autoFilter ref="A4:D84" xr:uid="{00000000-0009-0000-0100-00000D000000}"/>
  <tableColumns count="4">
    <tableColumn id="1" xr3:uid="{00000000-0010-0000-0A00-000001000000}" name="Strategi"/>
    <tableColumn id="2" xr3:uid="{00000000-0010-0000-0A00-000002000000}" name="N"/>
    <tableColumn id="3" xr3:uid="{00000000-0010-0000-0A00-000003000000}" name="måned"/>
    <tableColumn id="4" xr3:uid="{00000000-0010-0000-0A00-000004000000}" name="p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14" displayName="Table14" ref="A4:AF240" totalsRowShown="0">
  <autoFilter ref="A4:AF240" xr:uid="{00000000-0009-0000-0100-00000E000000}"/>
  <tableColumns count="32">
    <tableColumn id="1" xr3:uid="{00000000-0010-0000-0B00-000001000000}" name="Date"/>
    <tableColumn id="2" xr3:uid="{00000000-0010-0000-0B00-000002000000}" name="J3_K3"/>
    <tableColumn id="3" xr3:uid="{00000000-0010-0000-0B00-000003000000}" name="J3_K6"/>
    <tableColumn id="4" xr3:uid="{00000000-0010-0000-0B00-000004000000}" name="J3_K9"/>
    <tableColumn id="5" xr3:uid="{00000000-0010-0000-0B00-000005000000}" name="J3_K12"/>
    <tableColumn id="6" xr3:uid="{00000000-0010-0000-0B00-000006000000}" name="J6_K3"/>
    <tableColumn id="7" xr3:uid="{00000000-0010-0000-0B00-000007000000}" name="J6_K6"/>
    <tableColumn id="8" xr3:uid="{00000000-0010-0000-0B00-000008000000}" name="J6_K9"/>
    <tableColumn id="9" xr3:uid="{00000000-0010-0000-0B00-000009000000}" name="J6_K12"/>
    <tableColumn id="10" xr3:uid="{00000000-0010-0000-0B00-00000A000000}" name="J9_K3"/>
    <tableColumn id="11" xr3:uid="{00000000-0010-0000-0B00-00000B000000}" name="J9_K6"/>
    <tableColumn id="12" xr3:uid="{00000000-0010-0000-0B00-00000C000000}" name="J9_K9"/>
    <tableColumn id="13" xr3:uid="{00000000-0010-0000-0B00-00000D000000}" name="J9_K12"/>
    <tableColumn id="14" xr3:uid="{00000000-0010-0000-0B00-00000E000000}" name="J12_K3"/>
    <tableColumn id="15" xr3:uid="{00000000-0010-0000-0B00-00000F000000}" name="J12_K6"/>
    <tableColumn id="16" xr3:uid="{00000000-0010-0000-0B00-000010000000}" name="J12_K9"/>
    <tableColumn id="17" xr3:uid="{00000000-0010-0000-0B00-000011000000}" name="J12_K12"/>
    <tableColumn id="18" xr3:uid="{00000000-0010-0000-0B00-000012000000}" name="Mkt-RF"/>
    <tableColumn id="19" xr3:uid="{00000000-0010-0000-0B00-000013000000}" name="SMB"/>
    <tableColumn id="20" xr3:uid="{00000000-0010-0000-0B00-000014000000}" name="HML"/>
    <tableColumn id="21" xr3:uid="{00000000-0010-0000-0B00-000015000000}" name="RF"/>
    <tableColumn id="22" xr3:uid="{00000000-0010-0000-0B00-000016000000}" name="USDEUR=R Middle Price"/>
    <tableColumn id="23" xr3:uid="{00000000-0010-0000-0B00-000017000000}" name="FX_ret"/>
    <tableColumn id="24" xr3:uid="{00000000-0010-0000-0B00-000018000000}" name="Mkt_RF_USD"/>
    <tableColumn id="25" xr3:uid="{00000000-0010-0000-0B00-000019000000}" name="SMB_USD"/>
    <tableColumn id="26" xr3:uid="{00000000-0010-0000-0B00-00001A000000}" name="HML_USD"/>
    <tableColumn id="27" xr3:uid="{00000000-0010-0000-0B00-00001B000000}" name="RF_USD"/>
    <tableColumn id="28" xr3:uid="{00000000-0010-0000-0B00-00001C000000}" name="RF_EUR"/>
    <tableColumn id="29" xr3:uid="{00000000-0010-0000-0B00-00001D000000}" name="MKT_EUR"/>
    <tableColumn id="30" xr3:uid="{00000000-0010-0000-0B00-00001E000000}" name="MKT_RF_EUR"/>
    <tableColumn id="31" xr3:uid="{00000000-0010-0000-0B00-00001F000000}" name="SMB_EUR"/>
    <tableColumn id="32" xr3:uid="{00000000-0010-0000-0B00-000020000000}" name="HML_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3" topLeftCell="A4" activePane="bottomLeft" state="frozen"/>
      <selection pane="bottomLeft" activeCell="D18" sqref="D18"/>
    </sheetView>
  </sheetViews>
  <sheetFormatPr baseColWidth="10" defaultRowHeight="15" x14ac:dyDescent="0.2"/>
  <cols>
    <col min="1" max="1" width="45.6640625" customWidth="1"/>
    <col min="2" max="2" width="104.6640625" customWidth="1"/>
  </cols>
  <sheetData>
    <row r="1" spans="1:2" x14ac:dyDescent="0.2">
      <c r="A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164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workbookViewId="0">
      <pane ySplit="4" topLeftCell="A5" activePane="bottomLeft" state="frozen"/>
      <selection pane="bottomLeft" activeCell="I33" sqref="I33"/>
    </sheetView>
  </sheetViews>
  <sheetFormatPr baseColWidth="10" defaultRowHeight="15" x14ac:dyDescent="0.2"/>
  <cols>
    <col min="1" max="1" width="79.6640625" customWidth="1"/>
    <col min="2" max="2" width="8.6640625" customWidth="1"/>
    <col min="3" max="4" width="3.6640625" customWidth="1"/>
    <col min="5" max="5" width="4.83203125" bestFit="1" customWidth="1"/>
    <col min="6" max="6" width="9.5" bestFit="1" customWidth="1"/>
    <col min="7" max="8" width="10.1640625" bestFit="1" customWidth="1"/>
    <col min="9" max="9" width="19.6640625" customWidth="1"/>
    <col min="10" max="10" width="12.6640625" customWidth="1"/>
    <col min="11" max="12" width="11.6640625" customWidth="1"/>
    <col min="13" max="13" width="18.33203125" bestFit="1" customWidth="1"/>
    <col min="14" max="20" width="11.6640625" customWidth="1"/>
    <col min="21" max="21" width="13.6640625" bestFit="1" customWidth="1"/>
  </cols>
  <sheetData>
    <row r="1" spans="1:21" x14ac:dyDescent="0.2">
      <c r="A1" t="s">
        <v>14</v>
      </c>
    </row>
    <row r="2" spans="1:21" x14ac:dyDescent="0.2">
      <c r="A2" t="s">
        <v>15</v>
      </c>
    </row>
    <row r="4" spans="1:21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</row>
    <row r="5" spans="1:21" x14ac:dyDescent="0.2">
      <c r="A5" t="s">
        <v>37</v>
      </c>
      <c r="B5" t="s">
        <v>38</v>
      </c>
      <c r="C5">
        <v>3</v>
      </c>
      <c r="D5">
        <v>3</v>
      </c>
      <c r="E5">
        <v>235</v>
      </c>
      <c r="F5">
        <v>2</v>
      </c>
      <c r="G5" s="1">
        <v>38898</v>
      </c>
      <c r="H5" s="1">
        <v>46022</v>
      </c>
      <c r="I5">
        <v>0.216975341642242</v>
      </c>
      <c r="J5">
        <v>0.82490877958463604</v>
      </c>
      <c r="K5">
        <v>0.26302949733605102</v>
      </c>
      <c r="L5">
        <v>0.79276229537002496</v>
      </c>
      <c r="M5">
        <v>-0.18934975786168001</v>
      </c>
      <c r="N5">
        <v>-1.6871433837299501</v>
      </c>
      <c r="O5">
        <v>-0.388715488511929</v>
      </c>
      <c r="P5">
        <v>-1.3201648356156399</v>
      </c>
      <c r="Q5">
        <v>-0.38102118340069102</v>
      </c>
      <c r="R5">
        <v>-1.7541521427305899</v>
      </c>
      <c r="S5">
        <v>4.4446556771918298E-2</v>
      </c>
      <c r="T5">
        <v>3.2036771794930398E-2</v>
      </c>
      <c r="U5">
        <v>8.4697207612607492</v>
      </c>
    </row>
    <row r="6" spans="1:21" x14ac:dyDescent="0.2">
      <c r="A6" t="s">
        <v>37</v>
      </c>
      <c r="B6" t="s">
        <v>39</v>
      </c>
      <c r="C6">
        <v>3</v>
      </c>
      <c r="D6">
        <v>6</v>
      </c>
      <c r="E6">
        <v>235</v>
      </c>
      <c r="F6">
        <v>5</v>
      </c>
      <c r="G6" s="1">
        <v>38898</v>
      </c>
      <c r="H6" s="1">
        <v>46022</v>
      </c>
      <c r="I6">
        <v>1.12809039436567E-2</v>
      </c>
      <c r="J6">
        <v>1.3107423349630101</v>
      </c>
      <c r="K6">
        <v>8.6065000288367294E-3</v>
      </c>
      <c r="L6">
        <v>0.99314051932138803</v>
      </c>
      <c r="M6">
        <v>-2.26053329576546E-2</v>
      </c>
      <c r="N6">
        <v>-0.110540125349813</v>
      </c>
      <c r="O6">
        <v>-7.6777588683135901E-3</v>
      </c>
      <c r="P6">
        <v>-2.0324999035226301E-2</v>
      </c>
      <c r="Q6">
        <v>-0.53168241233490998</v>
      </c>
      <c r="R6">
        <v>-2.4307748604784001</v>
      </c>
      <c r="S6">
        <v>2.3554308883558799E-2</v>
      </c>
      <c r="T6">
        <v>1.0873196011916801E-2</v>
      </c>
      <c r="U6">
        <v>9.7125596247653707</v>
      </c>
    </row>
    <row r="7" spans="1:21" x14ac:dyDescent="0.2">
      <c r="A7" t="s">
        <v>37</v>
      </c>
      <c r="B7" t="s">
        <v>40</v>
      </c>
      <c r="C7">
        <v>3</v>
      </c>
      <c r="D7">
        <v>9</v>
      </c>
      <c r="E7">
        <v>235</v>
      </c>
      <c r="F7">
        <v>8</v>
      </c>
      <c r="G7" s="1">
        <v>38898</v>
      </c>
      <c r="H7" s="1">
        <v>46022</v>
      </c>
      <c r="I7">
        <v>2.40308867997364</v>
      </c>
      <c r="J7">
        <v>1.8142723361795701</v>
      </c>
      <c r="K7">
        <v>1.3245468345915301</v>
      </c>
      <c r="L7">
        <v>0.18663041108660999</v>
      </c>
      <c r="M7">
        <v>7.8765614500105399E-3</v>
      </c>
      <c r="N7">
        <v>3.4843376815507102E-2</v>
      </c>
      <c r="O7">
        <v>-8.1344310142145895E-2</v>
      </c>
      <c r="P7">
        <v>-0.186176599412469</v>
      </c>
      <c r="Q7">
        <v>-0.41162030924105197</v>
      </c>
      <c r="R7">
        <v>-1.7220967748887801</v>
      </c>
      <c r="S7">
        <v>1.0980430475465101E-2</v>
      </c>
      <c r="T7">
        <v>-1.86397951835993E-3</v>
      </c>
      <c r="U7">
        <v>10.553387764325199</v>
      </c>
    </row>
    <row r="8" spans="1:21" x14ac:dyDescent="0.2">
      <c r="A8" t="s">
        <v>37</v>
      </c>
      <c r="B8" t="s">
        <v>41</v>
      </c>
      <c r="C8">
        <v>3</v>
      </c>
      <c r="D8">
        <v>12</v>
      </c>
      <c r="E8">
        <v>235</v>
      </c>
      <c r="F8">
        <v>11</v>
      </c>
      <c r="G8" s="1">
        <v>38898</v>
      </c>
      <c r="H8" s="1">
        <v>46022</v>
      </c>
      <c r="I8">
        <v>3.0249549318570401</v>
      </c>
      <c r="J8">
        <v>2.4248353633694499</v>
      </c>
      <c r="K8">
        <v>1.24748878936411</v>
      </c>
      <c r="L8">
        <v>0.213481521373661</v>
      </c>
      <c r="M8">
        <v>-2.53617166370186E-2</v>
      </c>
      <c r="N8">
        <v>-0.109525514995715</v>
      </c>
      <c r="O8">
        <v>-0.29922279344694402</v>
      </c>
      <c r="P8">
        <v>-0.64047274753442796</v>
      </c>
      <c r="Q8">
        <v>-0.58716742998882698</v>
      </c>
      <c r="R8">
        <v>-2.1524304881185898</v>
      </c>
      <c r="S8">
        <v>1.8810261527184201E-2</v>
      </c>
      <c r="T8">
        <v>6.0675376509139499E-3</v>
      </c>
      <c r="U8">
        <v>12.2995405407523</v>
      </c>
    </row>
    <row r="9" spans="1:21" x14ac:dyDescent="0.2">
      <c r="A9" t="s">
        <v>37</v>
      </c>
      <c r="B9" t="s">
        <v>42</v>
      </c>
      <c r="C9">
        <v>6</v>
      </c>
      <c r="D9">
        <v>3</v>
      </c>
      <c r="E9">
        <v>233</v>
      </c>
      <c r="F9">
        <v>2</v>
      </c>
      <c r="G9" s="1">
        <v>38960</v>
      </c>
      <c r="H9" s="1">
        <v>46022</v>
      </c>
      <c r="I9">
        <v>4.2213246894835001E-2</v>
      </c>
      <c r="J9">
        <v>0.97562733989344197</v>
      </c>
      <c r="K9">
        <v>4.3267798234770199E-2</v>
      </c>
      <c r="L9">
        <v>0.96552576350376396</v>
      </c>
      <c r="M9">
        <v>-0.28278468786251099</v>
      </c>
      <c r="N9">
        <v>-1.42576125528543</v>
      </c>
      <c r="O9">
        <v>-0.27701867410647601</v>
      </c>
      <c r="P9">
        <v>-0.74212762084543704</v>
      </c>
      <c r="Q9">
        <v>-0.44906144347791199</v>
      </c>
      <c r="R9">
        <v>-1.97386079774163</v>
      </c>
      <c r="S9">
        <v>5.3304037531146202E-2</v>
      </c>
      <c r="T9">
        <v>4.0901907018453899E-2</v>
      </c>
      <c r="U9">
        <v>9.8276665574375208</v>
      </c>
    </row>
    <row r="10" spans="1:21" x14ac:dyDescent="0.2">
      <c r="A10" t="s">
        <v>37</v>
      </c>
      <c r="B10" t="s">
        <v>43</v>
      </c>
      <c r="C10">
        <v>6</v>
      </c>
      <c r="D10">
        <v>6</v>
      </c>
      <c r="E10">
        <v>233</v>
      </c>
      <c r="F10">
        <v>5</v>
      </c>
      <c r="G10" s="1">
        <v>38960</v>
      </c>
      <c r="H10" s="1">
        <v>46022</v>
      </c>
      <c r="I10">
        <v>1.12578798207346</v>
      </c>
      <c r="J10">
        <v>1.80179589517932</v>
      </c>
      <c r="K10">
        <v>0.62481437830194198</v>
      </c>
      <c r="L10">
        <v>0.53271494585034496</v>
      </c>
      <c r="M10">
        <v>-0.15837284131239299</v>
      </c>
      <c r="N10">
        <v>-0.51707996269463896</v>
      </c>
      <c r="O10">
        <v>-0.281809279401812</v>
      </c>
      <c r="P10">
        <v>-0.54463973452311099</v>
      </c>
      <c r="Q10">
        <v>-0.71802133561543702</v>
      </c>
      <c r="R10">
        <v>-2.5305533486524801</v>
      </c>
      <c r="S10">
        <v>3.5241789954351697E-2</v>
      </c>
      <c r="T10">
        <v>2.2603036110958999E-2</v>
      </c>
      <c r="U10">
        <v>12.753537879078801</v>
      </c>
    </row>
    <row r="11" spans="1:21" x14ac:dyDescent="0.2">
      <c r="A11" t="s">
        <v>37</v>
      </c>
      <c r="B11" t="s">
        <v>44</v>
      </c>
      <c r="C11">
        <v>6</v>
      </c>
      <c r="D11">
        <v>9</v>
      </c>
      <c r="E11">
        <v>233</v>
      </c>
      <c r="F11">
        <v>8</v>
      </c>
      <c r="G11" s="1">
        <v>38960</v>
      </c>
      <c r="H11" s="1">
        <v>46022</v>
      </c>
      <c r="I11">
        <v>2.2256784273090302</v>
      </c>
      <c r="J11">
        <v>2.76363390010895</v>
      </c>
      <c r="K11">
        <v>0.80534488566712603</v>
      </c>
      <c r="L11">
        <v>0.421456091910269</v>
      </c>
      <c r="M11">
        <v>-0.15555427712020001</v>
      </c>
      <c r="N11">
        <v>-0.42147580423181003</v>
      </c>
      <c r="O11">
        <v>-0.29321836681843899</v>
      </c>
      <c r="P11">
        <v>-0.48892167425639899</v>
      </c>
      <c r="Q11">
        <v>-0.761081172617456</v>
      </c>
      <c r="R11">
        <v>-2.19284546517917</v>
      </c>
      <c r="S11">
        <v>2.5244811640267099E-2</v>
      </c>
      <c r="T11">
        <v>1.24750930154672E-2</v>
      </c>
      <c r="U11">
        <v>15.780192013952201</v>
      </c>
    </row>
    <row r="12" spans="1:21" x14ac:dyDescent="0.2">
      <c r="A12" t="s">
        <v>37</v>
      </c>
      <c r="B12" t="s">
        <v>45</v>
      </c>
      <c r="C12">
        <v>6</v>
      </c>
      <c r="D12">
        <v>12</v>
      </c>
      <c r="E12">
        <v>233</v>
      </c>
      <c r="F12">
        <v>11</v>
      </c>
      <c r="G12" s="1">
        <v>38960</v>
      </c>
      <c r="H12" s="1">
        <v>46022</v>
      </c>
      <c r="I12">
        <v>2.4128233762732201</v>
      </c>
      <c r="J12">
        <v>3.7509908895302502</v>
      </c>
      <c r="K12">
        <v>0.64324959652871505</v>
      </c>
      <c r="L12">
        <v>0.52070575365277705</v>
      </c>
      <c r="M12">
        <v>-0.102251799930433</v>
      </c>
      <c r="N12">
        <v>-0.27929674023262901</v>
      </c>
      <c r="O12">
        <v>-0.26416155430745902</v>
      </c>
      <c r="P12">
        <v>-0.39130527186785402</v>
      </c>
      <c r="Q12">
        <v>-0.94795897643800398</v>
      </c>
      <c r="R12">
        <v>-2.4407609966164299</v>
      </c>
      <c r="S12">
        <v>2.21570880618417E-2</v>
      </c>
      <c r="T12">
        <v>9.3469189098135397E-3</v>
      </c>
      <c r="U12">
        <v>18.962374422918302</v>
      </c>
    </row>
    <row r="13" spans="1:21" x14ac:dyDescent="0.2">
      <c r="A13" t="s">
        <v>37</v>
      </c>
      <c r="B13" t="s">
        <v>46</v>
      </c>
      <c r="C13">
        <v>9</v>
      </c>
      <c r="D13">
        <v>3</v>
      </c>
      <c r="E13">
        <v>230</v>
      </c>
      <c r="F13">
        <v>2</v>
      </c>
      <c r="G13" s="1">
        <v>39051</v>
      </c>
      <c r="H13" s="1">
        <v>46022</v>
      </c>
      <c r="I13">
        <v>1.3659083489798201</v>
      </c>
      <c r="J13">
        <v>0.99991151834912195</v>
      </c>
      <c r="K13">
        <v>1.3660292175001301</v>
      </c>
      <c r="L13">
        <v>0.17328756545603499</v>
      </c>
      <c r="M13">
        <v>-0.30066526826193002</v>
      </c>
      <c r="N13">
        <v>-1.4942510465968399</v>
      </c>
      <c r="O13">
        <v>-0.44626928374449298</v>
      </c>
      <c r="P13">
        <v>-1.15399248033546</v>
      </c>
      <c r="Q13">
        <v>-0.72146908315831904</v>
      </c>
      <c r="R13">
        <v>-3.3482210931123899</v>
      </c>
      <c r="S13">
        <v>8.4452621928681998E-2</v>
      </c>
      <c r="T13">
        <v>7.2299338148974296E-2</v>
      </c>
      <c r="U13">
        <v>10.1329361075134</v>
      </c>
    </row>
    <row r="14" spans="1:21" x14ac:dyDescent="0.2">
      <c r="A14" t="s">
        <v>37</v>
      </c>
      <c r="B14" t="s">
        <v>47</v>
      </c>
      <c r="C14">
        <v>9</v>
      </c>
      <c r="D14">
        <v>6</v>
      </c>
      <c r="E14">
        <v>230</v>
      </c>
      <c r="F14">
        <v>5</v>
      </c>
      <c r="G14" s="1">
        <v>39051</v>
      </c>
      <c r="H14" s="1">
        <v>46022</v>
      </c>
      <c r="I14">
        <v>1.8244213030046099</v>
      </c>
      <c r="J14">
        <v>2.1414403767752699</v>
      </c>
      <c r="K14">
        <v>0.85195988774244902</v>
      </c>
      <c r="L14">
        <v>0.39513823991056901</v>
      </c>
      <c r="M14">
        <v>-0.214636700665055</v>
      </c>
      <c r="N14">
        <v>-0.64849307426992198</v>
      </c>
      <c r="O14">
        <v>-0.31820581933480901</v>
      </c>
      <c r="P14">
        <v>-0.514439796584783</v>
      </c>
      <c r="Q14">
        <v>-0.80507169653116495</v>
      </c>
      <c r="R14">
        <v>-2.3558090313588398</v>
      </c>
      <c r="S14">
        <v>3.6438019595537399E-2</v>
      </c>
      <c r="T14">
        <v>2.36473738379561E-2</v>
      </c>
      <c r="U14">
        <v>14.8284816343059</v>
      </c>
    </row>
    <row r="15" spans="1:21" x14ac:dyDescent="0.2">
      <c r="A15" t="s">
        <v>37</v>
      </c>
      <c r="B15" t="s">
        <v>48</v>
      </c>
      <c r="C15">
        <v>9</v>
      </c>
      <c r="D15">
        <v>9</v>
      </c>
      <c r="E15">
        <v>230</v>
      </c>
      <c r="F15">
        <v>8</v>
      </c>
      <c r="G15" s="1">
        <v>39051</v>
      </c>
      <c r="H15" s="1">
        <v>46022</v>
      </c>
      <c r="I15">
        <v>2.3741818254013798</v>
      </c>
      <c r="J15">
        <v>3.4224558571679</v>
      </c>
      <c r="K15">
        <v>0.69370707015225697</v>
      </c>
      <c r="L15">
        <v>0.48857830786477002</v>
      </c>
      <c r="M15">
        <v>-0.19693765272192501</v>
      </c>
      <c r="N15">
        <v>-0.469120007932047</v>
      </c>
      <c r="O15">
        <v>-0.213278224833651</v>
      </c>
      <c r="P15">
        <v>-0.29170766464618503</v>
      </c>
      <c r="Q15">
        <v>-0.91272477523204398</v>
      </c>
      <c r="R15">
        <v>-2.0112090865099899</v>
      </c>
      <c r="S15">
        <v>2.4434963783643699E-2</v>
      </c>
      <c r="T15">
        <v>1.14849854267894E-2</v>
      </c>
      <c r="U15">
        <v>19.410932618935099</v>
      </c>
    </row>
    <row r="16" spans="1:21" x14ac:dyDescent="0.2">
      <c r="A16" t="s">
        <v>37</v>
      </c>
      <c r="B16" t="s">
        <v>49</v>
      </c>
      <c r="C16">
        <v>9</v>
      </c>
      <c r="D16">
        <v>12</v>
      </c>
      <c r="E16">
        <v>230</v>
      </c>
      <c r="F16">
        <v>11</v>
      </c>
      <c r="G16" s="1">
        <v>39051</v>
      </c>
      <c r="H16" s="1">
        <v>46022</v>
      </c>
      <c r="I16">
        <v>2.5218713003461199</v>
      </c>
      <c r="J16">
        <v>4.4236918069819602</v>
      </c>
      <c r="K16">
        <v>0.57008295568100498</v>
      </c>
      <c r="L16">
        <v>0.56918771723332395</v>
      </c>
      <c r="M16">
        <v>-0.171863973063591</v>
      </c>
      <c r="N16">
        <v>-0.42023281577555099</v>
      </c>
      <c r="O16">
        <v>-0.30518562385757197</v>
      </c>
      <c r="P16">
        <v>-0.377152349514222</v>
      </c>
      <c r="Q16">
        <v>-0.91001559752208805</v>
      </c>
      <c r="R16">
        <v>-2.1003764838899501</v>
      </c>
      <c r="S16">
        <v>1.7816193853709101E-2</v>
      </c>
      <c r="T16">
        <v>4.7783557190239599E-3</v>
      </c>
      <c r="U16">
        <v>22.231366630447301</v>
      </c>
    </row>
    <row r="17" spans="1:21" x14ac:dyDescent="0.2">
      <c r="A17" t="s">
        <v>37</v>
      </c>
      <c r="B17" t="s">
        <v>50</v>
      </c>
      <c r="C17">
        <v>12</v>
      </c>
      <c r="D17">
        <v>3</v>
      </c>
      <c r="E17">
        <v>227</v>
      </c>
      <c r="F17">
        <v>2</v>
      </c>
      <c r="G17" s="1">
        <v>39141</v>
      </c>
      <c r="H17" s="1">
        <v>46022</v>
      </c>
      <c r="I17">
        <v>0.82648287856672698</v>
      </c>
      <c r="J17">
        <v>1.1124280989176401</v>
      </c>
      <c r="K17">
        <v>0.74295397551614095</v>
      </c>
      <c r="L17">
        <v>0.45829148851270601</v>
      </c>
      <c r="M17">
        <v>-0.34494002112760302</v>
      </c>
      <c r="N17">
        <v>-1.4920041278671099</v>
      </c>
      <c r="O17">
        <v>-0.61287885414132304</v>
      </c>
      <c r="P17">
        <v>-1.39970884403451</v>
      </c>
      <c r="Q17">
        <v>-0.79169838188095398</v>
      </c>
      <c r="R17">
        <v>-3.2630102568209201</v>
      </c>
      <c r="S17">
        <v>9.0567642635147397E-2</v>
      </c>
      <c r="T17">
        <v>7.8333126616786194E-2</v>
      </c>
      <c r="U17">
        <v>11.138833270286501</v>
      </c>
    </row>
    <row r="18" spans="1:21" x14ac:dyDescent="0.2">
      <c r="A18" t="s">
        <v>37</v>
      </c>
      <c r="B18" t="s">
        <v>51</v>
      </c>
      <c r="C18">
        <v>12</v>
      </c>
      <c r="D18">
        <v>6</v>
      </c>
      <c r="E18">
        <v>227</v>
      </c>
      <c r="F18">
        <v>5</v>
      </c>
      <c r="G18" s="1">
        <v>39141</v>
      </c>
      <c r="H18" s="1">
        <v>46022</v>
      </c>
      <c r="I18">
        <v>1.57929887945924</v>
      </c>
      <c r="J18">
        <v>2.5025501608352498</v>
      </c>
      <c r="K18">
        <v>0.63107581385387101</v>
      </c>
      <c r="L18">
        <v>0.52863723209118196</v>
      </c>
      <c r="M18">
        <v>-0.233138608072121</v>
      </c>
      <c r="N18">
        <v>-0.60174821286199898</v>
      </c>
      <c r="O18">
        <v>-0.59732679368533903</v>
      </c>
      <c r="P18">
        <v>-0.85995257312298701</v>
      </c>
      <c r="Q18">
        <v>-1.0956546800793101</v>
      </c>
      <c r="R18">
        <v>-2.6334077300751901</v>
      </c>
      <c r="S18">
        <v>4.6829677066546303E-2</v>
      </c>
      <c r="T18">
        <v>3.4006757923943802E-2</v>
      </c>
      <c r="U18">
        <v>17.082558185228901</v>
      </c>
    </row>
    <row r="19" spans="1:21" x14ac:dyDescent="0.2">
      <c r="A19" t="s">
        <v>37</v>
      </c>
      <c r="B19" t="s">
        <v>52</v>
      </c>
      <c r="C19">
        <v>12</v>
      </c>
      <c r="D19">
        <v>9</v>
      </c>
      <c r="E19">
        <v>227</v>
      </c>
      <c r="F19">
        <v>8</v>
      </c>
      <c r="G19" s="1">
        <v>39141</v>
      </c>
      <c r="H19" s="1">
        <v>46022</v>
      </c>
      <c r="I19">
        <v>2.36110146930403</v>
      </c>
      <c r="J19">
        <v>3.8654610608766502</v>
      </c>
      <c r="K19">
        <v>0.61082014075923896</v>
      </c>
      <c r="L19">
        <v>0.54194072378869096</v>
      </c>
      <c r="M19">
        <v>-0.23372357897527399</v>
      </c>
      <c r="N19">
        <v>-0.50026703866849997</v>
      </c>
      <c r="O19">
        <v>-0.53776234296409098</v>
      </c>
      <c r="P19">
        <v>-0.66278092631982399</v>
      </c>
      <c r="Q19">
        <v>-1.1093262867217499</v>
      </c>
      <c r="R19">
        <v>-2.31804346015989</v>
      </c>
      <c r="S19">
        <v>2.93576470643695E-2</v>
      </c>
      <c r="T19">
        <v>1.6299678190795901E-2</v>
      </c>
      <c r="U19">
        <v>21.846669996808899</v>
      </c>
    </row>
    <row r="20" spans="1:21" x14ac:dyDescent="0.2">
      <c r="A20" t="s">
        <v>37</v>
      </c>
      <c r="B20" t="s">
        <v>53</v>
      </c>
      <c r="C20">
        <v>12</v>
      </c>
      <c r="D20">
        <v>12</v>
      </c>
      <c r="E20">
        <v>227</v>
      </c>
      <c r="F20">
        <v>11</v>
      </c>
      <c r="G20" s="1">
        <v>39141</v>
      </c>
      <c r="H20" s="1">
        <v>46022</v>
      </c>
      <c r="I20">
        <v>2.8114974165834798</v>
      </c>
      <c r="J20">
        <v>4.66024608927194</v>
      </c>
      <c r="K20">
        <v>0.60329376662224998</v>
      </c>
      <c r="L20">
        <v>0.54692638936613802</v>
      </c>
      <c r="M20">
        <v>-0.13314657308032299</v>
      </c>
      <c r="N20">
        <v>-0.309423678129502</v>
      </c>
      <c r="O20">
        <v>-0.674164674774971</v>
      </c>
      <c r="P20">
        <v>-0.78734303448528997</v>
      </c>
      <c r="Q20">
        <v>-1.15634950927669</v>
      </c>
      <c r="R20">
        <v>-2.6175565100762599</v>
      </c>
      <c r="S20">
        <v>2.3601411321129601E-2</v>
      </c>
      <c r="T20">
        <v>1.04660042985438E-2</v>
      </c>
      <c r="U20">
        <v>23.5207725873091</v>
      </c>
    </row>
    <row r="22" spans="1:21" x14ac:dyDescent="0.2">
      <c r="M22" s="3">
        <f>AVERAGE(Table4[MKT_RF_beta])</f>
        <v>-0.17234101426248133</v>
      </c>
      <c r="N22" s="3"/>
      <c r="O22" s="3">
        <f>AVERAGE(Table4[SMB_beta])</f>
        <v>-0.34988999018373551</v>
      </c>
      <c r="P22" s="3"/>
      <c r="Q22" s="3">
        <f>AVERAGE(Table4[HML_beta])</f>
        <v>-0.76812026709478809</v>
      </c>
      <c r="R22" s="3"/>
      <c r="S22" s="4">
        <f>AVERAGE(Table4[R2])</f>
        <v>3.6702341380906126E-2</v>
      </c>
    </row>
    <row r="24" spans="1:21" x14ac:dyDescent="0.2">
      <c r="L24" t="s">
        <v>162</v>
      </c>
      <c r="M24" t="s">
        <v>163</v>
      </c>
    </row>
    <row r="25" spans="1:21" x14ac:dyDescent="0.2">
      <c r="L25" s="2" t="s">
        <v>28</v>
      </c>
      <c r="M25" s="3">
        <f>AVERAGE(Table4[MKT_RF_beta])</f>
        <v>-0.17234101426248133</v>
      </c>
    </row>
    <row r="26" spans="1:21" x14ac:dyDescent="0.2">
      <c r="L26" s="2" t="s">
        <v>30</v>
      </c>
      <c r="M26" s="3">
        <f>AVERAGE(Table4[SMB_beta])</f>
        <v>-0.34988999018373551</v>
      </c>
    </row>
    <row r="27" spans="1:21" x14ac:dyDescent="0.2">
      <c r="L27" s="2" t="s">
        <v>32</v>
      </c>
      <c r="M27" s="3">
        <f>AVERAGE(Table4[HML_beta])</f>
        <v>-0.76812026709478809</v>
      </c>
    </row>
    <row r="28" spans="1:21" x14ac:dyDescent="0.2">
      <c r="L28" s="2" t="s">
        <v>34</v>
      </c>
      <c r="M28" s="4">
        <f>AVERAGE(Table4[R2])</f>
        <v>3.6702341380906126E-2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workbookViewId="0">
      <pane ySplit="4" topLeftCell="A5" activePane="bottomLeft" state="frozen"/>
      <selection pane="bottomLeft"/>
    </sheetView>
  </sheetViews>
  <sheetFormatPr baseColWidth="10" defaultRowHeight="15" x14ac:dyDescent="0.2"/>
  <cols>
    <col min="1" max="1" width="89.6640625" customWidth="1"/>
    <col min="2" max="2" width="8.6640625" customWidth="1"/>
    <col min="3" max="4" width="3.6640625" customWidth="1"/>
    <col min="5" max="5" width="4.83203125" bestFit="1" customWidth="1"/>
    <col min="6" max="6" width="6.6640625" customWidth="1"/>
    <col min="7" max="8" width="10.1640625" bestFit="1" customWidth="1"/>
    <col min="9" max="9" width="19.6640625" customWidth="1"/>
    <col min="10" max="10" width="12.6640625" customWidth="1"/>
    <col min="11" max="20" width="11.6640625" customWidth="1"/>
    <col min="21" max="21" width="12.6640625" customWidth="1"/>
  </cols>
  <sheetData>
    <row r="1" spans="1:21" x14ac:dyDescent="0.2">
      <c r="A1" t="s">
        <v>54</v>
      </c>
    </row>
    <row r="2" spans="1:21" x14ac:dyDescent="0.2">
      <c r="A2" t="s">
        <v>55</v>
      </c>
    </row>
    <row r="4" spans="1:21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</row>
    <row r="5" spans="1:21" x14ac:dyDescent="0.2">
      <c r="A5" t="s">
        <v>56</v>
      </c>
      <c r="B5" t="s">
        <v>38</v>
      </c>
      <c r="C5">
        <v>3</v>
      </c>
      <c r="D5">
        <v>3</v>
      </c>
      <c r="E5">
        <v>235</v>
      </c>
      <c r="F5">
        <v>2</v>
      </c>
      <c r="G5" s="1">
        <v>38898</v>
      </c>
      <c r="H5" s="1">
        <v>46022</v>
      </c>
      <c r="I5">
        <v>-0.112893521828258</v>
      </c>
      <c r="J5">
        <v>0.81561011665400696</v>
      </c>
      <c r="K5">
        <v>-0.138416039138157</v>
      </c>
      <c r="L5">
        <v>0.89003220756578205</v>
      </c>
      <c r="M5">
        <v>0.13221259711124</v>
      </c>
      <c r="N5">
        <v>1.0925796552226801</v>
      </c>
      <c r="O5">
        <v>-0.291717988203266</v>
      </c>
      <c r="P5">
        <v>-0.90992082232619198</v>
      </c>
      <c r="Q5">
        <v>-0.35203210822963499</v>
      </c>
      <c r="R5">
        <v>-1.5581154217578901</v>
      </c>
      <c r="S5">
        <v>1.48557939533208E-2</v>
      </c>
      <c r="T5">
        <v>2.0617133553121302E-3</v>
      </c>
      <c r="U5">
        <v>8.5917105681427106</v>
      </c>
    </row>
    <row r="6" spans="1:21" x14ac:dyDescent="0.2">
      <c r="A6" t="s">
        <v>56</v>
      </c>
      <c r="B6" t="s">
        <v>39</v>
      </c>
      <c r="C6">
        <v>3</v>
      </c>
      <c r="D6">
        <v>6</v>
      </c>
      <c r="E6">
        <v>235</v>
      </c>
      <c r="F6">
        <v>5</v>
      </c>
      <c r="G6" s="1">
        <v>38898</v>
      </c>
      <c r="H6" s="1">
        <v>46022</v>
      </c>
      <c r="I6">
        <v>-0.31858795952684299</v>
      </c>
      <c r="J6">
        <v>1.29650955457868</v>
      </c>
      <c r="K6">
        <v>-0.24572742900485001</v>
      </c>
      <c r="L6">
        <v>0.80611142298069005</v>
      </c>
      <c r="M6">
        <v>0.29895702201526497</v>
      </c>
      <c r="N6">
        <v>1.4332142518194999</v>
      </c>
      <c r="O6">
        <v>8.9319741440348793E-2</v>
      </c>
      <c r="P6">
        <v>0.21312204207976099</v>
      </c>
      <c r="Q6">
        <v>-0.502693337163853</v>
      </c>
      <c r="R6">
        <v>-2.0779230776649902</v>
      </c>
      <c r="S6">
        <v>3.1319345629961803E-2</v>
      </c>
      <c r="T6">
        <v>1.873907739139E-2</v>
      </c>
      <c r="U6">
        <v>9.8637509150514404</v>
      </c>
    </row>
    <row r="7" spans="1:21" x14ac:dyDescent="0.2">
      <c r="A7" t="s">
        <v>56</v>
      </c>
      <c r="B7" t="s">
        <v>40</v>
      </c>
      <c r="C7">
        <v>3</v>
      </c>
      <c r="D7">
        <v>9</v>
      </c>
      <c r="E7">
        <v>235</v>
      </c>
      <c r="F7">
        <v>8</v>
      </c>
      <c r="G7" s="1">
        <v>38898</v>
      </c>
      <c r="H7" s="1">
        <v>46022</v>
      </c>
      <c r="I7">
        <v>2.0732198165031401</v>
      </c>
      <c r="J7">
        <v>1.78836134622839</v>
      </c>
      <c r="K7">
        <v>1.1592846271674899</v>
      </c>
      <c r="L7">
        <v>0.24753711172780701</v>
      </c>
      <c r="M7">
        <v>0.32943891642292999</v>
      </c>
      <c r="N7">
        <v>1.42235005864108</v>
      </c>
      <c r="O7">
        <v>1.5653190166516701E-2</v>
      </c>
      <c r="P7">
        <v>3.2096077717441301E-2</v>
      </c>
      <c r="Q7">
        <v>-0.382631234069996</v>
      </c>
      <c r="R7">
        <v>-1.51673006792525</v>
      </c>
      <c r="S7">
        <v>2.64146165723095E-2</v>
      </c>
      <c r="T7">
        <v>1.37706505537681E-2</v>
      </c>
      <c r="U7">
        <v>10.6032974321854</v>
      </c>
    </row>
    <row r="8" spans="1:21" x14ac:dyDescent="0.2">
      <c r="A8" t="s">
        <v>56</v>
      </c>
      <c r="B8" t="s">
        <v>41</v>
      </c>
      <c r="C8">
        <v>3</v>
      </c>
      <c r="D8">
        <v>12</v>
      </c>
      <c r="E8">
        <v>235</v>
      </c>
      <c r="F8">
        <v>11</v>
      </c>
      <c r="G8" s="1">
        <v>38898</v>
      </c>
      <c r="H8" s="1">
        <v>46022</v>
      </c>
      <c r="I8">
        <v>2.6950860683865301</v>
      </c>
      <c r="J8">
        <v>2.4048219247949398</v>
      </c>
      <c r="K8">
        <v>1.12070088874308</v>
      </c>
      <c r="L8">
        <v>0.26357895705404399</v>
      </c>
      <c r="M8">
        <v>0.29620063833590099</v>
      </c>
      <c r="N8">
        <v>1.25600870780055</v>
      </c>
      <c r="O8">
        <v>-0.202225293138282</v>
      </c>
      <c r="P8">
        <v>-0.393518002015874</v>
      </c>
      <c r="Q8">
        <v>-0.55817835481777001</v>
      </c>
      <c r="R8">
        <v>-1.9777084418548401</v>
      </c>
      <c r="S8">
        <v>2.0547627730019401E-2</v>
      </c>
      <c r="T8">
        <v>7.8274670511885303E-3</v>
      </c>
      <c r="U8">
        <v>12.374004471852</v>
      </c>
    </row>
    <row r="9" spans="1:21" x14ac:dyDescent="0.2">
      <c r="A9" t="s">
        <v>56</v>
      </c>
      <c r="B9" t="s">
        <v>42</v>
      </c>
      <c r="C9">
        <v>6</v>
      </c>
      <c r="D9">
        <v>3</v>
      </c>
      <c r="E9">
        <v>233</v>
      </c>
      <c r="F9">
        <v>2</v>
      </c>
      <c r="G9" s="1">
        <v>38960</v>
      </c>
      <c r="H9" s="1">
        <v>46022</v>
      </c>
      <c r="I9">
        <v>-0.28565907080939001</v>
      </c>
      <c r="J9">
        <v>0.97465631275277098</v>
      </c>
      <c r="K9">
        <v>-0.293086975451469</v>
      </c>
      <c r="L9">
        <v>0.76972108576201004</v>
      </c>
      <c r="M9">
        <v>3.8782059530970303E-2</v>
      </c>
      <c r="N9">
        <v>0.187451568741931</v>
      </c>
      <c r="O9">
        <v>-0.181015709955517</v>
      </c>
      <c r="P9">
        <v>-0.44316821771896098</v>
      </c>
      <c r="Q9">
        <v>-0.41973676080538402</v>
      </c>
      <c r="R9">
        <v>-1.72911746288899</v>
      </c>
      <c r="S9">
        <v>1.22275462633587E-2</v>
      </c>
      <c r="T9">
        <v>-7.1270422227409603E-4</v>
      </c>
      <c r="U9">
        <v>10.013037627048901</v>
      </c>
    </row>
    <row r="10" spans="1:21" x14ac:dyDescent="0.2">
      <c r="A10" t="s">
        <v>56</v>
      </c>
      <c r="B10" t="s">
        <v>43</v>
      </c>
      <c r="C10">
        <v>6</v>
      </c>
      <c r="D10">
        <v>6</v>
      </c>
      <c r="E10">
        <v>233</v>
      </c>
      <c r="F10">
        <v>5</v>
      </c>
      <c r="G10" s="1">
        <v>38960</v>
      </c>
      <c r="H10" s="1">
        <v>46022</v>
      </c>
      <c r="I10">
        <v>0.797915664369234</v>
      </c>
      <c r="J10">
        <v>1.7868814431606801</v>
      </c>
      <c r="K10">
        <v>0.44654090926024798</v>
      </c>
      <c r="L10">
        <v>0.65562854623896805</v>
      </c>
      <c r="M10">
        <v>0.163193906081088</v>
      </c>
      <c r="N10">
        <v>0.52617405771996095</v>
      </c>
      <c r="O10">
        <v>-0.185806315250853</v>
      </c>
      <c r="P10">
        <v>-0.33138228813154602</v>
      </c>
      <c r="Q10">
        <v>-0.68869665294290905</v>
      </c>
      <c r="R10">
        <v>-2.2877419457002701</v>
      </c>
      <c r="S10">
        <v>1.90645789947461E-2</v>
      </c>
      <c r="T10">
        <v>6.2138966234983597E-3</v>
      </c>
      <c r="U10">
        <v>12.832725328990399</v>
      </c>
    </row>
    <row r="11" spans="1:21" x14ac:dyDescent="0.2">
      <c r="A11" t="s">
        <v>56</v>
      </c>
      <c r="B11" t="s">
        <v>44</v>
      </c>
      <c r="C11">
        <v>6</v>
      </c>
      <c r="D11">
        <v>9</v>
      </c>
      <c r="E11">
        <v>233</v>
      </c>
      <c r="F11">
        <v>8</v>
      </c>
      <c r="G11" s="1">
        <v>38960</v>
      </c>
      <c r="H11" s="1">
        <v>46022</v>
      </c>
      <c r="I11">
        <v>1.89780610960481</v>
      </c>
      <c r="J11">
        <v>2.75018925323125</v>
      </c>
      <c r="K11">
        <v>0.69006382283511603</v>
      </c>
      <c r="L11">
        <v>0.49085279299064499</v>
      </c>
      <c r="M11">
        <v>0.166012470273282</v>
      </c>
      <c r="N11">
        <v>0.44444007889501203</v>
      </c>
      <c r="O11">
        <v>-0.197215402667479</v>
      </c>
      <c r="P11">
        <v>-0.30674889993947102</v>
      </c>
      <c r="Q11">
        <v>-0.73175648994492803</v>
      </c>
      <c r="R11">
        <v>-2.0059402684304102</v>
      </c>
      <c r="S11">
        <v>1.41537729938278E-2</v>
      </c>
      <c r="T11">
        <v>1.2387569195112501E-3</v>
      </c>
      <c r="U11">
        <v>15.825375439248701</v>
      </c>
    </row>
    <row r="12" spans="1:21" x14ac:dyDescent="0.2">
      <c r="A12" t="s">
        <v>56</v>
      </c>
      <c r="B12" t="s">
        <v>45</v>
      </c>
      <c r="C12">
        <v>6</v>
      </c>
      <c r="D12">
        <v>12</v>
      </c>
      <c r="E12">
        <v>233</v>
      </c>
      <c r="F12">
        <v>11</v>
      </c>
      <c r="G12" s="1">
        <v>38960</v>
      </c>
      <c r="H12" s="1">
        <v>46022</v>
      </c>
      <c r="I12">
        <v>2.0849510585689899</v>
      </c>
      <c r="J12">
        <v>3.7486847958350999</v>
      </c>
      <c r="K12">
        <v>0.55618201372530296</v>
      </c>
      <c r="L12">
        <v>0.57862947246673102</v>
      </c>
      <c r="M12">
        <v>0.219314947463048</v>
      </c>
      <c r="N12">
        <v>0.59708617342871095</v>
      </c>
      <c r="O12">
        <v>-0.168158590156499</v>
      </c>
      <c r="P12">
        <v>-0.232503036449214</v>
      </c>
      <c r="Q12">
        <v>-0.91863429376547701</v>
      </c>
      <c r="R12">
        <v>-2.2514458564459301</v>
      </c>
      <c r="S12">
        <v>1.54290460958015E-2</v>
      </c>
      <c r="T12">
        <v>2.5307366560086701E-3</v>
      </c>
      <c r="U12">
        <v>19.057337225668</v>
      </c>
    </row>
    <row r="13" spans="1:21" x14ac:dyDescent="0.2">
      <c r="A13" t="s">
        <v>56</v>
      </c>
      <c r="B13" t="s">
        <v>46</v>
      </c>
      <c r="C13">
        <v>9</v>
      </c>
      <c r="D13">
        <v>3</v>
      </c>
      <c r="E13">
        <v>230</v>
      </c>
      <c r="F13">
        <v>2</v>
      </c>
      <c r="G13" s="1">
        <v>39051</v>
      </c>
      <c r="H13" s="1">
        <v>46022</v>
      </c>
      <c r="I13">
        <v>1.04927410657279</v>
      </c>
      <c r="J13">
        <v>0.99899072376134601</v>
      </c>
      <c r="K13">
        <v>1.05033418390725</v>
      </c>
      <c r="L13">
        <v>0.29468632396879102</v>
      </c>
      <c r="M13">
        <v>2.1396306392629499E-2</v>
      </c>
      <c r="N13">
        <v>0.10196435374844701</v>
      </c>
      <c r="O13">
        <v>-0.35017225265644603</v>
      </c>
      <c r="P13">
        <v>-0.83835761621486504</v>
      </c>
      <c r="Q13">
        <v>-0.69159758930918402</v>
      </c>
      <c r="R13">
        <v>-2.9463872420631798</v>
      </c>
      <c r="S13">
        <v>3.3565563337132398E-2</v>
      </c>
      <c r="T13">
        <v>2.0736787629218399E-2</v>
      </c>
      <c r="U13">
        <v>10.316472222099801</v>
      </c>
    </row>
    <row r="14" spans="1:21" x14ac:dyDescent="0.2">
      <c r="A14" t="s">
        <v>56</v>
      </c>
      <c r="B14" t="s">
        <v>47</v>
      </c>
      <c r="C14">
        <v>9</v>
      </c>
      <c r="D14">
        <v>6</v>
      </c>
      <c r="E14">
        <v>230</v>
      </c>
      <c r="F14">
        <v>5</v>
      </c>
      <c r="G14" s="1">
        <v>39051</v>
      </c>
      <c r="H14" s="1">
        <v>46022</v>
      </c>
      <c r="I14">
        <v>1.5077870605975801</v>
      </c>
      <c r="J14">
        <v>2.1368151819662602</v>
      </c>
      <c r="K14">
        <v>0.70562352482452095</v>
      </c>
      <c r="L14">
        <v>0.481148970045989</v>
      </c>
      <c r="M14">
        <v>0.107424873989504</v>
      </c>
      <c r="N14">
        <v>0.319308994993803</v>
      </c>
      <c r="O14">
        <v>-0.222108788246762</v>
      </c>
      <c r="P14">
        <v>-0.33806259117456799</v>
      </c>
      <c r="Q14">
        <v>-0.77520020268203005</v>
      </c>
      <c r="R14">
        <v>-2.1233172477269</v>
      </c>
      <c r="S14">
        <v>1.7868402156543801E-2</v>
      </c>
      <c r="T14">
        <v>4.8312570524272598E-3</v>
      </c>
      <c r="U14">
        <v>14.9647249673818</v>
      </c>
    </row>
    <row r="15" spans="1:21" x14ac:dyDescent="0.2">
      <c r="A15" t="s">
        <v>56</v>
      </c>
      <c r="B15" t="s">
        <v>48</v>
      </c>
      <c r="C15">
        <v>9</v>
      </c>
      <c r="D15">
        <v>9</v>
      </c>
      <c r="E15">
        <v>230</v>
      </c>
      <c r="F15">
        <v>8</v>
      </c>
      <c r="G15" s="1">
        <v>39051</v>
      </c>
      <c r="H15" s="1">
        <v>46022</v>
      </c>
      <c r="I15">
        <v>2.0575475829943399</v>
      </c>
      <c r="J15">
        <v>3.4229709905951302</v>
      </c>
      <c r="K15">
        <v>0.60109991835969701</v>
      </c>
      <c r="L15">
        <v>0.54837584443127096</v>
      </c>
      <c r="M15">
        <v>0.125123921932635</v>
      </c>
      <c r="N15">
        <v>0.29461432545153798</v>
      </c>
      <c r="O15">
        <v>-0.117181193745605</v>
      </c>
      <c r="P15">
        <v>-0.151627740148256</v>
      </c>
      <c r="Q15">
        <v>-0.88285328138290897</v>
      </c>
      <c r="R15">
        <v>-1.83840872806852</v>
      </c>
      <c r="S15">
        <v>1.3616441345527801E-2</v>
      </c>
      <c r="T15">
        <v>5.2285428374288E-4</v>
      </c>
      <c r="U15">
        <v>19.5284145896483</v>
      </c>
    </row>
    <row r="16" spans="1:21" x14ac:dyDescent="0.2">
      <c r="A16" t="s">
        <v>56</v>
      </c>
      <c r="B16" t="s">
        <v>49</v>
      </c>
      <c r="C16">
        <v>9</v>
      </c>
      <c r="D16">
        <v>12</v>
      </c>
      <c r="E16">
        <v>230</v>
      </c>
      <c r="F16">
        <v>11</v>
      </c>
      <c r="G16" s="1">
        <v>39051</v>
      </c>
      <c r="H16" s="1">
        <v>46022</v>
      </c>
      <c r="I16">
        <v>2.2052370579390899</v>
      </c>
      <c r="J16">
        <v>4.4343367372224201</v>
      </c>
      <c r="K16">
        <v>0.497309335898654</v>
      </c>
      <c r="L16">
        <v>0.61945440321564704</v>
      </c>
      <c r="M16">
        <v>0.15019760159096801</v>
      </c>
      <c r="N16">
        <v>0.36567876836430102</v>
      </c>
      <c r="O16">
        <v>-0.20908859276952399</v>
      </c>
      <c r="P16">
        <v>-0.24361939477161201</v>
      </c>
      <c r="Q16">
        <v>-0.88014410367295204</v>
      </c>
      <c r="R16">
        <v>-1.93697873826678</v>
      </c>
      <c r="S16">
        <v>1.0263167267663E-2</v>
      </c>
      <c r="T16">
        <v>-2.8749322818812902E-3</v>
      </c>
      <c r="U16">
        <v>22.395892434132701</v>
      </c>
    </row>
    <row r="17" spans="1:21" x14ac:dyDescent="0.2">
      <c r="A17" t="s">
        <v>56</v>
      </c>
      <c r="B17" t="s">
        <v>50</v>
      </c>
      <c r="C17">
        <v>12</v>
      </c>
      <c r="D17">
        <v>3</v>
      </c>
      <c r="E17">
        <v>227</v>
      </c>
      <c r="F17">
        <v>2</v>
      </c>
      <c r="G17" s="1">
        <v>39141</v>
      </c>
      <c r="H17" s="1">
        <v>46022</v>
      </c>
      <c r="I17">
        <v>0.51558483615320005</v>
      </c>
      <c r="J17">
        <v>1.11777767113529</v>
      </c>
      <c r="K17">
        <v>0.46125884374621501</v>
      </c>
      <c r="L17">
        <v>0.64506248362273499</v>
      </c>
      <c r="M17">
        <v>-2.3330752038723802E-2</v>
      </c>
      <c r="N17">
        <v>-9.7441055467018298E-2</v>
      </c>
      <c r="O17">
        <v>-0.51676800555119395</v>
      </c>
      <c r="P17">
        <v>-1.11151094901962</v>
      </c>
      <c r="Q17">
        <v>-0.760644859899127</v>
      </c>
      <c r="R17">
        <v>-2.8566491542301198</v>
      </c>
      <c r="S17">
        <v>3.8813460298321903E-2</v>
      </c>
      <c r="T17">
        <v>2.5882699674532501E-2</v>
      </c>
      <c r="U17">
        <v>11.359987037819</v>
      </c>
    </row>
    <row r="18" spans="1:21" x14ac:dyDescent="0.2">
      <c r="A18" t="s">
        <v>56</v>
      </c>
      <c r="B18" t="s">
        <v>51</v>
      </c>
      <c r="C18">
        <v>12</v>
      </c>
      <c r="D18">
        <v>6</v>
      </c>
      <c r="E18">
        <v>227</v>
      </c>
      <c r="F18">
        <v>5</v>
      </c>
      <c r="G18" s="1">
        <v>39141</v>
      </c>
      <c r="H18" s="1">
        <v>46022</v>
      </c>
      <c r="I18">
        <v>1.2684008370457101</v>
      </c>
      <c r="J18">
        <v>2.5047676543832802</v>
      </c>
      <c r="K18">
        <v>0.50639460902732703</v>
      </c>
      <c r="L18">
        <v>0.61307994160296797</v>
      </c>
      <c r="M18">
        <v>8.8470661016757698E-2</v>
      </c>
      <c r="N18">
        <v>0.22494542291404801</v>
      </c>
      <c r="O18">
        <v>-0.50121594509521195</v>
      </c>
      <c r="P18">
        <v>-0.684292193133754</v>
      </c>
      <c r="Q18">
        <v>-1.0646011580974899</v>
      </c>
      <c r="R18">
        <v>-2.4074372604005898</v>
      </c>
      <c r="S18">
        <v>2.7227677610440398E-2</v>
      </c>
      <c r="T18">
        <v>1.41410544392804E-2</v>
      </c>
      <c r="U18">
        <v>17.235047614487801</v>
      </c>
    </row>
    <row r="19" spans="1:21" x14ac:dyDescent="0.2">
      <c r="A19" t="s">
        <v>56</v>
      </c>
      <c r="B19" t="s">
        <v>52</v>
      </c>
      <c r="C19">
        <v>12</v>
      </c>
      <c r="D19">
        <v>9</v>
      </c>
      <c r="E19">
        <v>227</v>
      </c>
      <c r="F19">
        <v>8</v>
      </c>
      <c r="G19" s="1">
        <v>39141</v>
      </c>
      <c r="H19" s="1">
        <v>46022</v>
      </c>
      <c r="I19">
        <v>2.0502034268905098</v>
      </c>
      <c r="J19">
        <v>3.8771785692507201</v>
      </c>
      <c r="K19">
        <v>0.52878746497526297</v>
      </c>
      <c r="L19">
        <v>0.597478799604238</v>
      </c>
      <c r="M19">
        <v>8.7885690113604295E-2</v>
      </c>
      <c r="N19">
        <v>0.185910946219738</v>
      </c>
      <c r="O19">
        <v>-0.44165149437396301</v>
      </c>
      <c r="P19">
        <v>-0.51680697145904197</v>
      </c>
      <c r="Q19">
        <v>-1.07827276473992</v>
      </c>
      <c r="R19">
        <v>-2.1459249340156501</v>
      </c>
      <c r="S19">
        <v>1.707230026039E-2</v>
      </c>
      <c r="T19">
        <v>3.8490576629961501E-3</v>
      </c>
      <c r="U19">
        <v>22.006871502250601</v>
      </c>
    </row>
    <row r="20" spans="1:21" x14ac:dyDescent="0.2">
      <c r="A20" t="s">
        <v>56</v>
      </c>
      <c r="B20" t="s">
        <v>53</v>
      </c>
      <c r="C20">
        <v>12</v>
      </c>
      <c r="D20">
        <v>12</v>
      </c>
      <c r="E20">
        <v>227</v>
      </c>
      <c r="F20">
        <v>11</v>
      </c>
      <c r="G20" s="1">
        <v>39141</v>
      </c>
      <c r="H20" s="1">
        <v>46022</v>
      </c>
      <c r="I20">
        <v>2.5005993741699499</v>
      </c>
      <c r="J20">
        <v>4.6759319823409999</v>
      </c>
      <c r="K20">
        <v>0.53478095567122197</v>
      </c>
      <c r="L20">
        <v>0.59333414610812696</v>
      </c>
      <c r="M20">
        <v>0.188462696008555</v>
      </c>
      <c r="N20">
        <v>0.43612840454674201</v>
      </c>
      <c r="O20">
        <v>-0.57805382618484102</v>
      </c>
      <c r="P20">
        <v>-0.63902562042722399</v>
      </c>
      <c r="Q20">
        <v>-1.12529598729486</v>
      </c>
      <c r="R20">
        <v>-2.44228975116234</v>
      </c>
      <c r="S20">
        <v>1.5859549948319202E-2</v>
      </c>
      <c r="T20">
        <v>2.6199923243055401E-3</v>
      </c>
      <c r="U20">
        <v>23.690228974916302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="132" workbookViewId="0">
      <pane ySplit="4" topLeftCell="A5" activePane="bottomLeft" state="frozen"/>
      <selection pane="bottomLeft" activeCell="C10" sqref="C10"/>
    </sheetView>
  </sheetViews>
  <sheetFormatPr baseColWidth="10" defaultRowHeight="15" x14ac:dyDescent="0.2"/>
  <cols>
    <col min="1" max="1" width="36.6640625" customWidth="1"/>
    <col min="2" max="5" width="11.6640625" customWidth="1"/>
  </cols>
  <sheetData>
    <row r="1" spans="1:5" x14ac:dyDescent="0.2">
      <c r="A1" t="s">
        <v>57</v>
      </c>
    </row>
    <row r="2" spans="1:5" x14ac:dyDescent="0.2">
      <c r="A2" t="s">
        <v>58</v>
      </c>
    </row>
    <row r="4" spans="1:5" x14ac:dyDescent="0.2">
      <c r="A4" t="s">
        <v>18</v>
      </c>
      <c r="B4" t="s">
        <v>59</v>
      </c>
      <c r="C4" t="s">
        <v>60</v>
      </c>
      <c r="D4" t="s">
        <v>61</v>
      </c>
      <c r="E4" t="s">
        <v>62</v>
      </c>
    </row>
    <row r="5" spans="1:5" x14ac:dyDescent="0.2">
      <c r="A5" t="s">
        <v>63</v>
      </c>
      <c r="B5">
        <v>0.216975341642242</v>
      </c>
      <c r="C5">
        <v>1.12809039436567E-2</v>
      </c>
      <c r="D5">
        <v>2.40308867997364</v>
      </c>
      <c r="E5">
        <v>3.0249549318570401</v>
      </c>
    </row>
    <row r="6" spans="1:5" x14ac:dyDescent="0.2">
      <c r="A6" t="s">
        <v>64</v>
      </c>
      <c r="B6">
        <v>4.2213246894835001E-2</v>
      </c>
      <c r="C6">
        <v>1.12578798207346</v>
      </c>
      <c r="D6">
        <v>2.2256784273090302</v>
      </c>
      <c r="E6">
        <v>2.4128233762732201</v>
      </c>
    </row>
    <row r="7" spans="1:5" x14ac:dyDescent="0.2">
      <c r="A7" t="s">
        <v>65</v>
      </c>
      <c r="B7">
        <v>1.3659083489798201</v>
      </c>
      <c r="C7">
        <v>1.8244213030046099</v>
      </c>
      <c r="D7">
        <v>2.3741818254013798</v>
      </c>
      <c r="E7">
        <v>2.5218713003461199</v>
      </c>
    </row>
    <row r="8" spans="1:5" x14ac:dyDescent="0.2">
      <c r="A8" t="s">
        <v>66</v>
      </c>
      <c r="B8">
        <v>0.82648287856672698</v>
      </c>
      <c r="C8">
        <v>1.57929887945924</v>
      </c>
      <c r="D8">
        <v>2.36110146930403</v>
      </c>
      <c r="E8">
        <v>2.8114974165834798</v>
      </c>
    </row>
    <row r="13" spans="1:5" x14ac:dyDescent="0.2">
      <c r="A13" t="s">
        <v>18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">
      <c r="A14" t="s">
        <v>63</v>
      </c>
      <c r="B14" s="3">
        <v>0.216975341642242</v>
      </c>
      <c r="C14" s="3">
        <v>1.12809039436567E-2</v>
      </c>
      <c r="D14" s="3">
        <v>2.40308867997364</v>
      </c>
      <c r="E14" s="3">
        <v>3.0249549318570401</v>
      </c>
    </row>
    <row r="15" spans="1:5" x14ac:dyDescent="0.2">
      <c r="A15" t="s">
        <v>64</v>
      </c>
      <c r="B15" s="3">
        <v>4.2213246894835001E-2</v>
      </c>
      <c r="C15" s="3">
        <v>1.12578798207346</v>
      </c>
      <c r="D15" s="3">
        <v>2.2256784273090302</v>
      </c>
      <c r="E15" s="3">
        <v>2.4128233762732201</v>
      </c>
    </row>
    <row r="16" spans="1:5" x14ac:dyDescent="0.2">
      <c r="A16" t="s">
        <v>65</v>
      </c>
      <c r="B16" s="3">
        <v>1.3659083489798201</v>
      </c>
      <c r="C16" s="3">
        <v>1.8244213030046099</v>
      </c>
      <c r="D16" s="3">
        <v>2.3741818254013798</v>
      </c>
      <c r="E16" s="3">
        <v>2.5218713003461199</v>
      </c>
    </row>
    <row r="17" spans="1:5" x14ac:dyDescent="0.2">
      <c r="A17" t="s">
        <v>66</v>
      </c>
      <c r="B17" s="3">
        <v>0.82648287856672698</v>
      </c>
      <c r="C17" s="3">
        <v>1.57929887945924</v>
      </c>
      <c r="D17" s="3">
        <v>2.36110146930403</v>
      </c>
      <c r="E17" s="3">
        <v>2.8114974165834798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zoomScale="133" workbookViewId="0">
      <pane ySplit="4" topLeftCell="A5" activePane="bottomLeft" state="frozen"/>
      <selection pane="bottomLeft" activeCell="C22" sqref="C22"/>
    </sheetView>
  </sheetViews>
  <sheetFormatPr baseColWidth="10" defaultRowHeight="15" x14ac:dyDescent="0.2"/>
  <cols>
    <col min="1" max="1" width="65.6640625" customWidth="1"/>
    <col min="2" max="5" width="11.6640625" customWidth="1"/>
  </cols>
  <sheetData>
    <row r="1" spans="1:5" x14ac:dyDescent="0.2">
      <c r="A1" t="s">
        <v>67</v>
      </c>
    </row>
    <row r="2" spans="1:5" x14ac:dyDescent="0.2">
      <c r="A2" t="s">
        <v>68</v>
      </c>
    </row>
    <row r="4" spans="1:5" x14ac:dyDescent="0.2">
      <c r="A4" t="s">
        <v>18</v>
      </c>
      <c r="B4" t="s">
        <v>59</v>
      </c>
      <c r="C4" t="s">
        <v>60</v>
      </c>
      <c r="D4" t="s">
        <v>61</v>
      </c>
      <c r="E4" t="s">
        <v>62</v>
      </c>
    </row>
    <row r="5" spans="1:5" x14ac:dyDescent="0.2">
      <c r="A5" t="s">
        <v>63</v>
      </c>
      <c r="B5">
        <v>0.26302949733605102</v>
      </c>
      <c r="C5">
        <v>8.6065000288367294E-3</v>
      </c>
      <c r="D5">
        <v>1.3245468345915301</v>
      </c>
      <c r="E5">
        <v>1.24748878936411</v>
      </c>
    </row>
    <row r="6" spans="1:5" x14ac:dyDescent="0.2">
      <c r="A6" t="s">
        <v>64</v>
      </c>
      <c r="B6">
        <v>4.3267798234770199E-2</v>
      </c>
      <c r="C6">
        <v>0.62481437830194198</v>
      </c>
      <c r="D6">
        <v>0.80534488566712603</v>
      </c>
      <c r="E6">
        <v>0.64324959652871505</v>
      </c>
    </row>
    <row r="7" spans="1:5" x14ac:dyDescent="0.2">
      <c r="A7" t="s">
        <v>65</v>
      </c>
      <c r="B7">
        <v>1.3660292175001301</v>
      </c>
      <c r="C7">
        <v>0.85195988774244902</v>
      </c>
      <c r="D7">
        <v>0.69370707015225697</v>
      </c>
      <c r="E7">
        <v>0.57008295568100498</v>
      </c>
    </row>
    <row r="8" spans="1:5" x14ac:dyDescent="0.2">
      <c r="A8" t="s">
        <v>66</v>
      </c>
      <c r="B8">
        <v>0.74295397551614095</v>
      </c>
      <c r="C8">
        <v>0.63107581385387101</v>
      </c>
      <c r="D8">
        <v>0.61082014075923896</v>
      </c>
      <c r="E8">
        <v>0.60329376662224998</v>
      </c>
    </row>
    <row r="11" spans="1:5" x14ac:dyDescent="0.2">
      <c r="A11" t="s">
        <v>18</v>
      </c>
      <c r="B11" t="s">
        <v>59</v>
      </c>
      <c r="C11" t="s">
        <v>60</v>
      </c>
      <c r="D11" t="s">
        <v>61</v>
      </c>
      <c r="E11" t="s">
        <v>62</v>
      </c>
    </row>
    <row r="12" spans="1:5" x14ac:dyDescent="0.2">
      <c r="A12" t="s">
        <v>63</v>
      </c>
      <c r="B12" s="3">
        <v>0.26302949733605102</v>
      </c>
      <c r="C12" s="3">
        <v>8.6065000288367294E-3</v>
      </c>
      <c r="D12" s="3">
        <v>1.3245468345915301</v>
      </c>
      <c r="E12" s="3">
        <v>1.24748878936411</v>
      </c>
    </row>
    <row r="13" spans="1:5" x14ac:dyDescent="0.2">
      <c r="A13" t="s">
        <v>64</v>
      </c>
      <c r="B13" s="3">
        <v>4.3267798234770199E-2</v>
      </c>
      <c r="C13" s="3">
        <v>0.62481437830194198</v>
      </c>
      <c r="D13" s="3">
        <v>0.80534488566712603</v>
      </c>
      <c r="E13" s="3">
        <v>0.64324959652871505</v>
      </c>
    </row>
    <row r="14" spans="1:5" x14ac:dyDescent="0.2">
      <c r="A14" t="s">
        <v>65</v>
      </c>
      <c r="B14" s="3">
        <v>1.3660292175001301</v>
      </c>
      <c r="C14" s="3">
        <v>0.85195988774244902</v>
      </c>
      <c r="D14" s="3">
        <v>0.69370707015225697</v>
      </c>
      <c r="E14" s="3">
        <v>0.57008295568100498</v>
      </c>
    </row>
    <row r="15" spans="1:5" x14ac:dyDescent="0.2">
      <c r="A15" t="s">
        <v>66</v>
      </c>
      <c r="B15" s="3">
        <v>0.74295397551614095</v>
      </c>
      <c r="C15" s="3">
        <v>0.63107581385387101</v>
      </c>
      <c r="D15" s="3">
        <v>0.61082014075923896</v>
      </c>
      <c r="E15" s="3">
        <v>0.60329376662224998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="140" workbookViewId="0">
      <pane ySplit="4" topLeftCell="A5" activePane="bottomLeft" state="frozen"/>
      <selection pane="bottomLeft"/>
    </sheetView>
  </sheetViews>
  <sheetFormatPr baseColWidth="10" defaultRowHeight="15" x14ac:dyDescent="0.2"/>
  <cols>
    <col min="1" max="1" width="39.6640625" customWidth="1"/>
    <col min="2" max="5" width="11.6640625" customWidth="1"/>
  </cols>
  <sheetData>
    <row r="1" spans="1:5" x14ac:dyDescent="0.2">
      <c r="A1" t="s">
        <v>69</v>
      </c>
    </row>
    <row r="2" spans="1:5" x14ac:dyDescent="0.2">
      <c r="A2" t="s">
        <v>70</v>
      </c>
    </row>
    <row r="4" spans="1:5" x14ac:dyDescent="0.2">
      <c r="A4" t="s">
        <v>18</v>
      </c>
      <c r="B4" t="s">
        <v>59</v>
      </c>
      <c r="C4" t="s">
        <v>60</v>
      </c>
      <c r="D4" t="s">
        <v>61</v>
      </c>
      <c r="E4" t="s">
        <v>62</v>
      </c>
    </row>
    <row r="5" spans="1:5" x14ac:dyDescent="0.2">
      <c r="A5" t="s">
        <v>63</v>
      </c>
      <c r="B5">
        <v>0.79276229537002496</v>
      </c>
      <c r="C5">
        <v>0.99314051932138803</v>
      </c>
      <c r="D5">
        <v>0.18663041108660999</v>
      </c>
      <c r="E5">
        <v>0.213481521373661</v>
      </c>
    </row>
    <row r="6" spans="1:5" x14ac:dyDescent="0.2">
      <c r="A6" t="s">
        <v>64</v>
      </c>
      <c r="B6">
        <v>0.96552576350376396</v>
      </c>
      <c r="C6">
        <v>0.53271494585034496</v>
      </c>
      <c r="D6">
        <v>0.421456091910269</v>
      </c>
      <c r="E6">
        <v>0.52070575365277705</v>
      </c>
    </row>
    <row r="7" spans="1:5" x14ac:dyDescent="0.2">
      <c r="A7" t="s">
        <v>65</v>
      </c>
      <c r="B7">
        <v>0.17328756545603499</v>
      </c>
      <c r="C7">
        <v>0.39513823991056901</v>
      </c>
      <c r="D7">
        <v>0.48857830786477002</v>
      </c>
      <c r="E7">
        <v>0.56918771723332395</v>
      </c>
    </row>
    <row r="8" spans="1:5" x14ac:dyDescent="0.2">
      <c r="A8" t="s">
        <v>66</v>
      </c>
      <c r="B8">
        <v>0.45829148851270601</v>
      </c>
      <c r="C8">
        <v>0.52863723209118196</v>
      </c>
      <c r="D8">
        <v>0.54194072378869096</v>
      </c>
      <c r="E8">
        <v>0.54692638936613802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zoomScale="156" workbookViewId="0">
      <pane ySplit="4" topLeftCell="A5" activePane="bottomLeft" state="frozen"/>
      <selection pane="bottomLeft" activeCell="C20" sqref="C20"/>
    </sheetView>
  </sheetViews>
  <sheetFormatPr baseColWidth="10" defaultRowHeight="15" x14ac:dyDescent="0.2"/>
  <cols>
    <col min="1" max="1" width="43.6640625" customWidth="1"/>
    <col min="2" max="5" width="11.6640625" customWidth="1"/>
  </cols>
  <sheetData>
    <row r="1" spans="1:5" x14ac:dyDescent="0.2">
      <c r="A1" t="s">
        <v>71</v>
      </c>
    </row>
    <row r="2" spans="1:5" x14ac:dyDescent="0.2">
      <c r="A2" t="s">
        <v>58</v>
      </c>
    </row>
    <row r="4" spans="1:5" x14ac:dyDescent="0.2">
      <c r="A4" t="s">
        <v>18</v>
      </c>
      <c r="B4" t="s">
        <v>59</v>
      </c>
      <c r="C4" t="s">
        <v>60</v>
      </c>
      <c r="D4" t="s">
        <v>61</v>
      </c>
      <c r="E4" t="s">
        <v>62</v>
      </c>
    </row>
    <row r="5" spans="1:5" x14ac:dyDescent="0.2">
      <c r="A5" t="s">
        <v>63</v>
      </c>
      <c r="B5">
        <v>-0.112893521828258</v>
      </c>
      <c r="C5">
        <v>-0.31858795952684299</v>
      </c>
      <c r="D5">
        <v>2.0732198165031401</v>
      </c>
      <c r="E5">
        <v>2.6950860683865301</v>
      </c>
    </row>
    <row r="6" spans="1:5" x14ac:dyDescent="0.2">
      <c r="A6" t="s">
        <v>64</v>
      </c>
      <c r="B6">
        <v>-0.28565907080939001</v>
      </c>
      <c r="C6">
        <v>0.797915664369234</v>
      </c>
      <c r="D6">
        <v>1.89780610960481</v>
      </c>
      <c r="E6">
        <v>2.0849510585689899</v>
      </c>
    </row>
    <row r="7" spans="1:5" x14ac:dyDescent="0.2">
      <c r="A7" t="s">
        <v>65</v>
      </c>
      <c r="B7">
        <v>1.04927410657279</v>
      </c>
      <c r="C7">
        <v>1.5077870605975801</v>
      </c>
      <c r="D7">
        <v>2.0575475829943399</v>
      </c>
      <c r="E7">
        <v>2.2052370579390899</v>
      </c>
    </row>
    <row r="8" spans="1:5" x14ac:dyDescent="0.2">
      <c r="A8" t="s">
        <v>66</v>
      </c>
      <c r="B8">
        <v>0.51558483615320005</v>
      </c>
      <c r="C8">
        <v>1.2684008370457101</v>
      </c>
      <c r="D8">
        <v>2.0502034268905098</v>
      </c>
      <c r="E8">
        <v>2.5005993741699499</v>
      </c>
    </row>
    <row r="11" spans="1:5" x14ac:dyDescent="0.2">
      <c r="A11" t="s">
        <v>18</v>
      </c>
      <c r="B11" t="s">
        <v>59</v>
      </c>
      <c r="C11" t="s">
        <v>60</v>
      </c>
      <c r="D11" t="s">
        <v>61</v>
      </c>
      <c r="E11" t="s">
        <v>62</v>
      </c>
    </row>
    <row r="12" spans="1:5" x14ac:dyDescent="0.2">
      <c r="A12" t="s">
        <v>63</v>
      </c>
      <c r="B12" s="3">
        <v>-0.112893521828258</v>
      </c>
      <c r="C12" s="3">
        <v>-0.31858795952684299</v>
      </c>
      <c r="D12" s="3">
        <v>2.0732198165031401</v>
      </c>
      <c r="E12" s="3">
        <v>2.6950860683865301</v>
      </c>
    </row>
    <row r="13" spans="1:5" x14ac:dyDescent="0.2">
      <c r="A13" t="s">
        <v>64</v>
      </c>
      <c r="B13" s="3">
        <v>-0.28565907080939001</v>
      </c>
      <c r="C13" s="3">
        <v>0.797915664369234</v>
      </c>
      <c r="D13" s="3">
        <v>1.89780610960481</v>
      </c>
      <c r="E13" s="3">
        <v>2.0849510585689899</v>
      </c>
    </row>
    <row r="14" spans="1:5" x14ac:dyDescent="0.2">
      <c r="A14" t="s">
        <v>65</v>
      </c>
      <c r="B14" s="3">
        <v>1.04927410657279</v>
      </c>
      <c r="C14" s="3">
        <v>1.5077870605975801</v>
      </c>
      <c r="D14" s="3">
        <v>2.0575475829943399</v>
      </c>
      <c r="E14" s="3">
        <v>2.2052370579390899</v>
      </c>
    </row>
    <row r="15" spans="1:5" x14ac:dyDescent="0.2">
      <c r="A15" t="s">
        <v>66</v>
      </c>
      <c r="B15" s="3">
        <v>0.51558483615320005</v>
      </c>
      <c r="C15" s="3">
        <v>1.2684008370457101</v>
      </c>
      <c r="D15" s="3">
        <v>2.0502034268905098</v>
      </c>
      <c r="E15" s="3">
        <v>2.5005993741699499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zoomScale="150" workbookViewId="0">
      <pane ySplit="4" topLeftCell="A5" activePane="bottomLeft" state="frozen"/>
      <selection pane="bottomLeft" activeCell="B24" sqref="B24"/>
    </sheetView>
  </sheetViews>
  <sheetFormatPr baseColWidth="10" defaultRowHeight="15" x14ac:dyDescent="0.2"/>
  <cols>
    <col min="1" max="1" width="65.6640625" customWidth="1"/>
    <col min="2" max="5" width="11.6640625" customWidth="1"/>
  </cols>
  <sheetData>
    <row r="1" spans="1:5" x14ac:dyDescent="0.2">
      <c r="A1" t="s">
        <v>72</v>
      </c>
    </row>
    <row r="2" spans="1:5" x14ac:dyDescent="0.2">
      <c r="A2" t="s">
        <v>68</v>
      </c>
    </row>
    <row r="4" spans="1:5" x14ac:dyDescent="0.2">
      <c r="A4" t="s">
        <v>18</v>
      </c>
      <c r="B4" t="s">
        <v>59</v>
      </c>
      <c r="C4" t="s">
        <v>60</v>
      </c>
      <c r="D4" t="s">
        <v>61</v>
      </c>
      <c r="E4" t="s">
        <v>62</v>
      </c>
    </row>
    <row r="5" spans="1:5" x14ac:dyDescent="0.2">
      <c r="A5" t="s">
        <v>63</v>
      </c>
      <c r="B5">
        <v>-0.138416039138157</v>
      </c>
      <c r="C5">
        <v>-0.24572742900485001</v>
      </c>
      <c r="D5">
        <v>1.1592846271674899</v>
      </c>
      <c r="E5">
        <v>1.12070088874308</v>
      </c>
    </row>
    <row r="6" spans="1:5" x14ac:dyDescent="0.2">
      <c r="A6" t="s">
        <v>64</v>
      </c>
      <c r="B6">
        <v>-0.293086975451469</v>
      </c>
      <c r="C6">
        <v>0.44654090926024798</v>
      </c>
      <c r="D6">
        <v>0.69006382283511603</v>
      </c>
      <c r="E6">
        <v>0.55618201372530296</v>
      </c>
    </row>
    <row r="7" spans="1:5" x14ac:dyDescent="0.2">
      <c r="A7" t="s">
        <v>65</v>
      </c>
      <c r="B7">
        <v>1.05033418390725</v>
      </c>
      <c r="C7">
        <v>0.70562352482452095</v>
      </c>
      <c r="D7">
        <v>0.60109991835969701</v>
      </c>
      <c r="E7">
        <v>0.497309335898654</v>
      </c>
    </row>
    <row r="8" spans="1:5" x14ac:dyDescent="0.2">
      <c r="A8" t="s">
        <v>66</v>
      </c>
      <c r="B8">
        <v>0.46125884374621501</v>
      </c>
      <c r="C8">
        <v>0.50639460902732703</v>
      </c>
      <c r="D8">
        <v>0.52878746497526297</v>
      </c>
      <c r="E8">
        <v>0.53478095567122197</v>
      </c>
    </row>
    <row r="11" spans="1:5" x14ac:dyDescent="0.2">
      <c r="A11" t="s">
        <v>18</v>
      </c>
      <c r="B11" t="s">
        <v>59</v>
      </c>
      <c r="C11" t="s">
        <v>60</v>
      </c>
      <c r="D11" t="s">
        <v>61</v>
      </c>
      <c r="E11" t="s">
        <v>62</v>
      </c>
    </row>
    <row r="12" spans="1:5" x14ac:dyDescent="0.2">
      <c r="A12" t="s">
        <v>63</v>
      </c>
      <c r="B12" s="3">
        <v>-0.138416039138157</v>
      </c>
      <c r="C12" s="3">
        <v>-0.24572742900485001</v>
      </c>
      <c r="D12" s="3">
        <v>1.1592846271674899</v>
      </c>
      <c r="E12" s="3">
        <v>1.12070088874308</v>
      </c>
    </row>
    <row r="13" spans="1:5" x14ac:dyDescent="0.2">
      <c r="A13" t="s">
        <v>64</v>
      </c>
      <c r="B13" s="3">
        <v>-0.293086975451469</v>
      </c>
      <c r="C13" s="3">
        <v>0.44654090926024798</v>
      </c>
      <c r="D13" s="3">
        <v>0.69006382283511603</v>
      </c>
      <c r="E13" s="3">
        <v>0.55618201372530296</v>
      </c>
    </row>
    <row r="14" spans="1:5" x14ac:dyDescent="0.2">
      <c r="A14" t="s">
        <v>65</v>
      </c>
      <c r="B14" s="3">
        <v>1.05033418390725</v>
      </c>
      <c r="C14" s="3">
        <v>0.70562352482452095</v>
      </c>
      <c r="D14" s="3">
        <v>0.60109991835969701</v>
      </c>
      <c r="E14" s="3">
        <v>0.497309335898654</v>
      </c>
    </row>
    <row r="15" spans="1:5" x14ac:dyDescent="0.2">
      <c r="A15" t="s">
        <v>66</v>
      </c>
      <c r="B15" s="3">
        <v>0.46125884374621501</v>
      </c>
      <c r="C15" s="3">
        <v>0.50639460902732703</v>
      </c>
      <c r="D15" s="3">
        <v>0.52878746497526297</v>
      </c>
      <c r="E15" s="3">
        <v>0.53478095567122197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pane ySplit="4" topLeftCell="A5" activePane="bottomLeft" state="frozen"/>
      <selection pane="bottomLeft"/>
    </sheetView>
  </sheetViews>
  <sheetFormatPr baseColWidth="10" defaultRowHeight="15" x14ac:dyDescent="0.2"/>
  <cols>
    <col min="1" max="1" width="52.6640625" customWidth="1"/>
    <col min="2" max="5" width="11.6640625" customWidth="1"/>
  </cols>
  <sheetData>
    <row r="1" spans="1:5" x14ac:dyDescent="0.2">
      <c r="A1" t="s">
        <v>73</v>
      </c>
    </row>
    <row r="2" spans="1:5" x14ac:dyDescent="0.2">
      <c r="A2" t="s">
        <v>70</v>
      </c>
    </row>
    <row r="4" spans="1:5" x14ac:dyDescent="0.2">
      <c r="A4" t="s">
        <v>18</v>
      </c>
      <c r="B4" t="s">
        <v>59</v>
      </c>
      <c r="C4" t="s">
        <v>60</v>
      </c>
      <c r="D4" t="s">
        <v>61</v>
      </c>
      <c r="E4" t="s">
        <v>62</v>
      </c>
    </row>
    <row r="5" spans="1:5" x14ac:dyDescent="0.2">
      <c r="A5" t="s">
        <v>63</v>
      </c>
      <c r="B5">
        <v>0.89003220756578205</v>
      </c>
      <c r="C5">
        <v>0.80611142298069005</v>
      </c>
      <c r="D5">
        <v>0.24753711172780701</v>
      </c>
      <c r="E5">
        <v>0.26357895705404399</v>
      </c>
    </row>
    <row r="6" spans="1:5" x14ac:dyDescent="0.2">
      <c r="A6" t="s">
        <v>64</v>
      </c>
      <c r="B6">
        <v>0.76972108576201004</v>
      </c>
      <c r="C6">
        <v>0.65562854623896805</v>
      </c>
      <c r="D6">
        <v>0.49085279299064499</v>
      </c>
      <c r="E6">
        <v>0.57862947246673102</v>
      </c>
    </row>
    <row r="7" spans="1:5" x14ac:dyDescent="0.2">
      <c r="A7" t="s">
        <v>65</v>
      </c>
      <c r="B7">
        <v>0.29468632396879102</v>
      </c>
      <c r="C7">
        <v>0.481148970045989</v>
      </c>
      <c r="D7">
        <v>0.54837584443127096</v>
      </c>
      <c r="E7">
        <v>0.61945440321564704</v>
      </c>
    </row>
    <row r="8" spans="1:5" x14ac:dyDescent="0.2">
      <c r="A8" t="s">
        <v>66</v>
      </c>
      <c r="B8">
        <v>0.64506248362273499</v>
      </c>
      <c r="C8">
        <v>0.61307994160296797</v>
      </c>
      <c r="D8">
        <v>0.597478799604238</v>
      </c>
      <c r="E8">
        <v>0.59333414610812696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"/>
  <sheetViews>
    <sheetView workbookViewId="0">
      <pane ySplit="4" topLeftCell="A5" activePane="bottomLeft" state="frozen"/>
      <selection pane="bottomLeft" activeCell="K15" sqref="K15"/>
    </sheetView>
  </sheetViews>
  <sheetFormatPr baseColWidth="10" defaultRowHeight="15" x14ac:dyDescent="0.2"/>
  <cols>
    <col min="1" max="1" width="62.6640625" customWidth="1"/>
    <col min="2" max="2" width="8.6640625" customWidth="1"/>
    <col min="3" max="4" width="3.6640625" customWidth="1"/>
    <col min="5" max="5" width="14.1640625" bestFit="1" customWidth="1"/>
    <col min="6" max="10" width="11.6640625" customWidth="1"/>
  </cols>
  <sheetData>
    <row r="1" spans="1:10" x14ac:dyDescent="0.2">
      <c r="A1" t="s">
        <v>74</v>
      </c>
    </row>
    <row r="2" spans="1:10" x14ac:dyDescent="0.2">
      <c r="A2" t="s">
        <v>75</v>
      </c>
    </row>
    <row r="4" spans="1:10" x14ac:dyDescent="0.2">
      <c r="A4" t="s">
        <v>16</v>
      </c>
      <c r="B4" t="s">
        <v>17</v>
      </c>
      <c r="C4" t="s">
        <v>18</v>
      </c>
      <c r="D4" t="s">
        <v>19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2">
      <c r="A5" t="s">
        <v>37</v>
      </c>
      <c r="B5" t="s">
        <v>38</v>
      </c>
      <c r="C5">
        <v>3</v>
      </c>
      <c r="D5">
        <v>3</v>
      </c>
      <c r="E5">
        <v>-0.18934975786168001</v>
      </c>
      <c r="F5">
        <v>-1.6871433837299501</v>
      </c>
      <c r="G5">
        <v>-0.388715488511929</v>
      </c>
      <c r="H5">
        <v>-1.3201648356156399</v>
      </c>
      <c r="I5">
        <v>-0.38102118340069102</v>
      </c>
      <c r="J5">
        <v>-1.7541521427305899</v>
      </c>
    </row>
    <row r="6" spans="1:10" x14ac:dyDescent="0.2">
      <c r="A6" t="s">
        <v>37</v>
      </c>
      <c r="B6" t="s">
        <v>39</v>
      </c>
      <c r="C6">
        <v>3</v>
      </c>
      <c r="D6">
        <v>6</v>
      </c>
      <c r="E6">
        <v>-2.26053329576546E-2</v>
      </c>
      <c r="F6">
        <v>-0.110540125349813</v>
      </c>
      <c r="G6">
        <v>-7.6777588683135901E-3</v>
      </c>
      <c r="H6">
        <v>-2.0324999035226301E-2</v>
      </c>
      <c r="I6">
        <v>-0.53168241233490998</v>
      </c>
      <c r="J6">
        <v>-2.4307748604784001</v>
      </c>
    </row>
    <row r="7" spans="1:10" x14ac:dyDescent="0.2">
      <c r="A7" t="s">
        <v>37</v>
      </c>
      <c r="B7" t="s">
        <v>40</v>
      </c>
      <c r="C7">
        <v>3</v>
      </c>
      <c r="D7">
        <v>9</v>
      </c>
      <c r="E7">
        <v>7.8765614500105399E-3</v>
      </c>
      <c r="F7">
        <v>3.4843376815507102E-2</v>
      </c>
      <c r="G7">
        <v>-8.1344310142145895E-2</v>
      </c>
      <c r="H7">
        <v>-0.186176599412469</v>
      </c>
      <c r="I7">
        <v>-0.41162030924105197</v>
      </c>
      <c r="J7">
        <v>-1.7220967748887801</v>
      </c>
    </row>
    <row r="8" spans="1:10" x14ac:dyDescent="0.2">
      <c r="A8" t="s">
        <v>37</v>
      </c>
      <c r="B8" t="s">
        <v>41</v>
      </c>
      <c r="C8">
        <v>3</v>
      </c>
      <c r="D8">
        <v>12</v>
      </c>
      <c r="E8">
        <v>-2.53617166370186E-2</v>
      </c>
      <c r="F8">
        <v>-0.109525514995715</v>
      </c>
      <c r="G8">
        <v>-0.29922279344694402</v>
      </c>
      <c r="H8">
        <v>-0.64047274753442796</v>
      </c>
      <c r="I8">
        <v>-0.58716742998882698</v>
      </c>
      <c r="J8">
        <v>-2.1524304881185898</v>
      </c>
    </row>
    <row r="9" spans="1:10" x14ac:dyDescent="0.2">
      <c r="A9" t="s">
        <v>37</v>
      </c>
      <c r="B9" t="s">
        <v>42</v>
      </c>
      <c r="C9">
        <v>6</v>
      </c>
      <c r="D9">
        <v>3</v>
      </c>
      <c r="E9">
        <v>-0.28278468786251099</v>
      </c>
      <c r="F9">
        <v>-1.42576125528543</v>
      </c>
      <c r="G9">
        <v>-0.27701867410647601</v>
      </c>
      <c r="H9">
        <v>-0.74212762084543704</v>
      </c>
      <c r="I9">
        <v>-0.44906144347791199</v>
      </c>
      <c r="J9">
        <v>-1.97386079774163</v>
      </c>
    </row>
    <row r="10" spans="1:10" x14ac:dyDescent="0.2">
      <c r="A10" t="s">
        <v>37</v>
      </c>
      <c r="B10" t="s">
        <v>43</v>
      </c>
      <c r="C10">
        <v>6</v>
      </c>
      <c r="D10">
        <v>6</v>
      </c>
      <c r="E10">
        <v>-0.15837284131239299</v>
      </c>
      <c r="F10">
        <v>-0.51707996269463896</v>
      </c>
      <c r="G10">
        <v>-0.281809279401812</v>
      </c>
      <c r="H10">
        <v>-0.54463973452311099</v>
      </c>
      <c r="I10">
        <v>-0.71802133561543702</v>
      </c>
      <c r="J10">
        <v>-2.5305533486524801</v>
      </c>
    </row>
    <row r="11" spans="1:10" x14ac:dyDescent="0.2">
      <c r="A11" t="s">
        <v>37</v>
      </c>
      <c r="B11" t="s">
        <v>44</v>
      </c>
      <c r="C11">
        <v>6</v>
      </c>
      <c r="D11">
        <v>9</v>
      </c>
      <c r="E11">
        <v>-0.15555427712020001</v>
      </c>
      <c r="F11">
        <v>-0.42147580423181003</v>
      </c>
      <c r="G11">
        <v>-0.29321836681843899</v>
      </c>
      <c r="H11">
        <v>-0.48892167425639899</v>
      </c>
      <c r="I11">
        <v>-0.761081172617456</v>
      </c>
      <c r="J11">
        <v>-2.19284546517917</v>
      </c>
    </row>
    <row r="12" spans="1:10" x14ac:dyDescent="0.2">
      <c r="A12" t="s">
        <v>37</v>
      </c>
      <c r="B12" t="s">
        <v>45</v>
      </c>
      <c r="C12">
        <v>6</v>
      </c>
      <c r="D12">
        <v>12</v>
      </c>
      <c r="E12">
        <v>-0.102251799930433</v>
      </c>
      <c r="F12">
        <v>-0.27929674023262901</v>
      </c>
      <c r="G12">
        <v>-0.26416155430745902</v>
      </c>
      <c r="H12">
        <v>-0.39130527186785402</v>
      </c>
      <c r="I12">
        <v>-0.94795897643800398</v>
      </c>
      <c r="J12">
        <v>-2.4407609966164299</v>
      </c>
    </row>
    <row r="13" spans="1:10" x14ac:dyDescent="0.2">
      <c r="A13" t="s">
        <v>37</v>
      </c>
      <c r="B13" t="s">
        <v>46</v>
      </c>
      <c r="C13">
        <v>9</v>
      </c>
      <c r="D13">
        <v>3</v>
      </c>
      <c r="E13">
        <v>-0.30066526826193002</v>
      </c>
      <c r="F13">
        <v>-1.4942510465968399</v>
      </c>
      <c r="G13">
        <v>-0.44626928374449298</v>
      </c>
      <c r="H13">
        <v>-1.15399248033546</v>
      </c>
      <c r="I13">
        <v>-0.72146908315831904</v>
      </c>
      <c r="J13">
        <v>-3.3482210931123899</v>
      </c>
    </row>
    <row r="14" spans="1:10" x14ac:dyDescent="0.2">
      <c r="A14" t="s">
        <v>37</v>
      </c>
      <c r="B14" t="s">
        <v>47</v>
      </c>
      <c r="C14">
        <v>9</v>
      </c>
      <c r="D14">
        <v>6</v>
      </c>
      <c r="E14">
        <v>-0.214636700665055</v>
      </c>
      <c r="F14">
        <v>-0.64849307426992198</v>
      </c>
      <c r="G14">
        <v>-0.31820581933480901</v>
      </c>
      <c r="H14">
        <v>-0.514439796584783</v>
      </c>
      <c r="I14">
        <v>-0.80507169653116495</v>
      </c>
      <c r="J14">
        <v>-2.3558090313588398</v>
      </c>
    </row>
    <row r="15" spans="1:10" x14ac:dyDescent="0.2">
      <c r="A15" t="s">
        <v>37</v>
      </c>
      <c r="B15" t="s">
        <v>48</v>
      </c>
      <c r="C15">
        <v>9</v>
      </c>
      <c r="D15">
        <v>9</v>
      </c>
      <c r="E15">
        <v>-0.19693765272192501</v>
      </c>
      <c r="F15">
        <v>-0.469120007932047</v>
      </c>
      <c r="G15">
        <v>-0.213278224833651</v>
      </c>
      <c r="H15">
        <v>-0.29170766464618503</v>
      </c>
      <c r="I15">
        <v>-0.91272477523204398</v>
      </c>
      <c r="J15">
        <v>-2.0112090865099899</v>
      </c>
    </row>
    <row r="16" spans="1:10" x14ac:dyDescent="0.2">
      <c r="A16" t="s">
        <v>37</v>
      </c>
      <c r="B16" t="s">
        <v>49</v>
      </c>
      <c r="C16">
        <v>9</v>
      </c>
      <c r="D16">
        <v>12</v>
      </c>
      <c r="E16">
        <v>-0.171863973063591</v>
      </c>
      <c r="F16">
        <v>-0.42023281577555099</v>
      </c>
      <c r="G16">
        <v>-0.30518562385757197</v>
      </c>
      <c r="H16">
        <v>-0.377152349514222</v>
      </c>
      <c r="I16">
        <v>-0.91001559752208805</v>
      </c>
      <c r="J16">
        <v>-2.1003764838899501</v>
      </c>
    </row>
    <row r="17" spans="1:10" x14ac:dyDescent="0.2">
      <c r="A17" t="s">
        <v>37</v>
      </c>
      <c r="B17" t="s">
        <v>50</v>
      </c>
      <c r="C17">
        <v>12</v>
      </c>
      <c r="D17">
        <v>3</v>
      </c>
      <c r="E17">
        <v>-0.34494002112760302</v>
      </c>
      <c r="F17">
        <v>-1.4920041278671099</v>
      </c>
      <c r="G17">
        <v>-0.61287885414132304</v>
      </c>
      <c r="H17">
        <v>-1.39970884403451</v>
      </c>
      <c r="I17">
        <v>-0.79169838188095398</v>
      </c>
      <c r="J17">
        <v>-3.2630102568209201</v>
      </c>
    </row>
    <row r="18" spans="1:10" x14ac:dyDescent="0.2">
      <c r="A18" t="s">
        <v>37</v>
      </c>
      <c r="B18" t="s">
        <v>51</v>
      </c>
      <c r="C18">
        <v>12</v>
      </c>
      <c r="D18">
        <v>6</v>
      </c>
      <c r="E18">
        <v>-0.233138608072121</v>
      </c>
      <c r="F18">
        <v>-0.60174821286199898</v>
      </c>
      <c r="G18">
        <v>-0.59732679368533903</v>
      </c>
      <c r="H18">
        <v>-0.85995257312298701</v>
      </c>
      <c r="I18">
        <v>-1.0956546800793101</v>
      </c>
      <c r="J18">
        <v>-2.6334077300751901</v>
      </c>
    </row>
    <row r="19" spans="1:10" x14ac:dyDescent="0.2">
      <c r="A19" t="s">
        <v>37</v>
      </c>
      <c r="B19" t="s">
        <v>52</v>
      </c>
      <c r="C19">
        <v>12</v>
      </c>
      <c r="D19">
        <v>9</v>
      </c>
      <c r="E19">
        <v>-0.23372357897527399</v>
      </c>
      <c r="F19">
        <v>-0.50026703866849997</v>
      </c>
      <c r="G19">
        <v>-0.53776234296409098</v>
      </c>
      <c r="H19">
        <v>-0.66278092631982399</v>
      </c>
      <c r="I19">
        <v>-1.1093262867217499</v>
      </c>
      <c r="J19">
        <v>-2.31804346015989</v>
      </c>
    </row>
    <row r="20" spans="1:10" x14ac:dyDescent="0.2">
      <c r="A20" t="s">
        <v>37</v>
      </c>
      <c r="B20" t="s">
        <v>53</v>
      </c>
      <c r="C20">
        <v>12</v>
      </c>
      <c r="D20">
        <v>12</v>
      </c>
      <c r="E20">
        <v>-0.13314657308032299</v>
      </c>
      <c r="F20">
        <v>-0.309423678129502</v>
      </c>
      <c r="G20">
        <v>-0.674164674774971</v>
      </c>
      <c r="H20">
        <v>-0.78734303448528997</v>
      </c>
      <c r="I20">
        <v>-1.15634950927669</v>
      </c>
      <c r="J20">
        <v>-2.6175565100762599</v>
      </c>
    </row>
    <row r="21" spans="1:10" x14ac:dyDescent="0.2">
      <c r="A21" t="s">
        <v>56</v>
      </c>
      <c r="B21" t="s">
        <v>38</v>
      </c>
      <c r="C21">
        <v>3</v>
      </c>
      <c r="D21">
        <v>3</v>
      </c>
      <c r="E21">
        <v>0.13221259711124</v>
      </c>
      <c r="F21">
        <v>1.0925796552226801</v>
      </c>
      <c r="G21">
        <v>-0.291717988203266</v>
      </c>
      <c r="H21">
        <v>-0.90992082232619198</v>
      </c>
      <c r="I21">
        <v>-0.35203210822963499</v>
      </c>
      <c r="J21">
        <v>-1.5581154217578901</v>
      </c>
    </row>
    <row r="22" spans="1:10" x14ac:dyDescent="0.2">
      <c r="A22" t="s">
        <v>56</v>
      </c>
      <c r="B22" t="s">
        <v>39</v>
      </c>
      <c r="C22">
        <v>3</v>
      </c>
      <c r="D22">
        <v>6</v>
      </c>
      <c r="E22">
        <v>0.29895702201526497</v>
      </c>
      <c r="F22">
        <v>1.4332142518194999</v>
      </c>
      <c r="G22">
        <v>8.9319741440348793E-2</v>
      </c>
      <c r="H22">
        <v>0.21312204207976099</v>
      </c>
      <c r="I22">
        <v>-0.502693337163853</v>
      </c>
      <c r="J22">
        <v>-2.0779230776649902</v>
      </c>
    </row>
    <row r="23" spans="1:10" x14ac:dyDescent="0.2">
      <c r="A23" t="s">
        <v>56</v>
      </c>
      <c r="B23" t="s">
        <v>40</v>
      </c>
      <c r="C23">
        <v>3</v>
      </c>
      <c r="D23">
        <v>9</v>
      </c>
      <c r="E23">
        <v>0.32943891642292999</v>
      </c>
      <c r="F23">
        <v>1.42235005864108</v>
      </c>
      <c r="G23">
        <v>1.5653190166516701E-2</v>
      </c>
      <c r="H23">
        <v>3.2096077717441301E-2</v>
      </c>
      <c r="I23">
        <v>-0.382631234069996</v>
      </c>
      <c r="J23">
        <v>-1.51673006792525</v>
      </c>
    </row>
    <row r="24" spans="1:10" x14ac:dyDescent="0.2">
      <c r="A24" t="s">
        <v>56</v>
      </c>
      <c r="B24" t="s">
        <v>41</v>
      </c>
      <c r="C24">
        <v>3</v>
      </c>
      <c r="D24">
        <v>12</v>
      </c>
      <c r="E24">
        <v>0.29620063833590099</v>
      </c>
      <c r="F24">
        <v>1.25600870780055</v>
      </c>
      <c r="G24">
        <v>-0.202225293138282</v>
      </c>
      <c r="H24">
        <v>-0.393518002015874</v>
      </c>
      <c r="I24">
        <v>-0.55817835481777001</v>
      </c>
      <c r="J24">
        <v>-1.9777084418548401</v>
      </c>
    </row>
    <row r="25" spans="1:10" x14ac:dyDescent="0.2">
      <c r="A25" t="s">
        <v>56</v>
      </c>
      <c r="B25" t="s">
        <v>42</v>
      </c>
      <c r="C25">
        <v>6</v>
      </c>
      <c r="D25">
        <v>3</v>
      </c>
      <c r="E25">
        <v>3.8782059530970303E-2</v>
      </c>
      <c r="F25">
        <v>0.187451568741931</v>
      </c>
      <c r="G25">
        <v>-0.181015709955517</v>
      </c>
      <c r="H25">
        <v>-0.44316821771896098</v>
      </c>
      <c r="I25">
        <v>-0.41973676080538402</v>
      </c>
      <c r="J25">
        <v>-1.72911746288899</v>
      </c>
    </row>
    <row r="26" spans="1:10" x14ac:dyDescent="0.2">
      <c r="A26" t="s">
        <v>56</v>
      </c>
      <c r="B26" t="s">
        <v>43</v>
      </c>
      <c r="C26">
        <v>6</v>
      </c>
      <c r="D26">
        <v>6</v>
      </c>
      <c r="E26">
        <v>0.163193906081088</v>
      </c>
      <c r="F26">
        <v>0.52617405771996095</v>
      </c>
      <c r="G26">
        <v>-0.185806315250853</v>
      </c>
      <c r="H26">
        <v>-0.33138228813154602</v>
      </c>
      <c r="I26">
        <v>-0.68869665294290905</v>
      </c>
      <c r="J26">
        <v>-2.2877419457002701</v>
      </c>
    </row>
    <row r="27" spans="1:10" x14ac:dyDescent="0.2">
      <c r="A27" t="s">
        <v>56</v>
      </c>
      <c r="B27" t="s">
        <v>44</v>
      </c>
      <c r="C27">
        <v>6</v>
      </c>
      <c r="D27">
        <v>9</v>
      </c>
      <c r="E27">
        <v>0.166012470273282</v>
      </c>
      <c r="F27">
        <v>0.44444007889501203</v>
      </c>
      <c r="G27">
        <v>-0.197215402667479</v>
      </c>
      <c r="H27">
        <v>-0.30674889993947102</v>
      </c>
      <c r="I27">
        <v>-0.73175648994492803</v>
      </c>
      <c r="J27">
        <v>-2.0059402684304102</v>
      </c>
    </row>
    <row r="28" spans="1:10" x14ac:dyDescent="0.2">
      <c r="A28" t="s">
        <v>56</v>
      </c>
      <c r="B28" t="s">
        <v>45</v>
      </c>
      <c r="C28">
        <v>6</v>
      </c>
      <c r="D28">
        <v>12</v>
      </c>
      <c r="E28">
        <v>0.219314947463048</v>
      </c>
      <c r="F28">
        <v>0.59708617342871095</v>
      </c>
      <c r="G28">
        <v>-0.168158590156499</v>
      </c>
      <c r="H28">
        <v>-0.232503036449214</v>
      </c>
      <c r="I28">
        <v>-0.91863429376547701</v>
      </c>
      <c r="J28">
        <v>-2.2514458564459301</v>
      </c>
    </row>
    <row r="29" spans="1:10" x14ac:dyDescent="0.2">
      <c r="A29" t="s">
        <v>56</v>
      </c>
      <c r="B29" t="s">
        <v>46</v>
      </c>
      <c r="C29">
        <v>9</v>
      </c>
      <c r="D29">
        <v>3</v>
      </c>
      <c r="E29">
        <v>2.1396306392629499E-2</v>
      </c>
      <c r="F29">
        <v>0.10196435374844701</v>
      </c>
      <c r="G29">
        <v>-0.35017225265644603</v>
      </c>
      <c r="H29">
        <v>-0.83835761621486504</v>
      </c>
      <c r="I29">
        <v>-0.69159758930918402</v>
      </c>
      <c r="J29">
        <v>-2.9463872420631798</v>
      </c>
    </row>
    <row r="30" spans="1:10" x14ac:dyDescent="0.2">
      <c r="A30" t="s">
        <v>56</v>
      </c>
      <c r="B30" t="s">
        <v>47</v>
      </c>
      <c r="C30">
        <v>9</v>
      </c>
      <c r="D30">
        <v>6</v>
      </c>
      <c r="E30">
        <v>0.107424873989504</v>
      </c>
      <c r="F30">
        <v>0.319308994993803</v>
      </c>
      <c r="G30">
        <v>-0.222108788246762</v>
      </c>
      <c r="H30">
        <v>-0.33806259117456799</v>
      </c>
      <c r="I30">
        <v>-0.77520020268203005</v>
      </c>
      <c r="J30">
        <v>-2.1233172477269</v>
      </c>
    </row>
    <row r="31" spans="1:10" x14ac:dyDescent="0.2">
      <c r="A31" t="s">
        <v>56</v>
      </c>
      <c r="B31" t="s">
        <v>48</v>
      </c>
      <c r="C31">
        <v>9</v>
      </c>
      <c r="D31">
        <v>9</v>
      </c>
      <c r="E31">
        <v>0.125123921932635</v>
      </c>
      <c r="F31">
        <v>0.29461432545153798</v>
      </c>
      <c r="G31">
        <v>-0.117181193745605</v>
      </c>
      <c r="H31">
        <v>-0.151627740148256</v>
      </c>
      <c r="I31">
        <v>-0.88285328138290897</v>
      </c>
      <c r="J31">
        <v>-1.83840872806852</v>
      </c>
    </row>
    <row r="32" spans="1:10" x14ac:dyDescent="0.2">
      <c r="A32" t="s">
        <v>56</v>
      </c>
      <c r="B32" t="s">
        <v>49</v>
      </c>
      <c r="C32">
        <v>9</v>
      </c>
      <c r="D32">
        <v>12</v>
      </c>
      <c r="E32">
        <v>0.15019760159096801</v>
      </c>
      <c r="F32">
        <v>0.36567876836430102</v>
      </c>
      <c r="G32">
        <v>-0.20908859276952399</v>
      </c>
      <c r="H32">
        <v>-0.24361939477161201</v>
      </c>
      <c r="I32">
        <v>-0.88014410367295204</v>
      </c>
      <c r="J32">
        <v>-1.93697873826678</v>
      </c>
    </row>
    <row r="33" spans="1:10" x14ac:dyDescent="0.2">
      <c r="A33" t="s">
        <v>56</v>
      </c>
      <c r="B33" t="s">
        <v>50</v>
      </c>
      <c r="C33">
        <v>12</v>
      </c>
      <c r="D33">
        <v>3</v>
      </c>
      <c r="E33">
        <v>-2.3330752038723802E-2</v>
      </c>
      <c r="F33">
        <v>-9.7441055467018298E-2</v>
      </c>
      <c r="G33">
        <v>-0.51676800555119395</v>
      </c>
      <c r="H33">
        <v>-1.11151094901962</v>
      </c>
      <c r="I33">
        <v>-0.760644859899127</v>
      </c>
      <c r="J33">
        <v>-2.8566491542301198</v>
      </c>
    </row>
    <row r="34" spans="1:10" x14ac:dyDescent="0.2">
      <c r="A34" t="s">
        <v>56</v>
      </c>
      <c r="B34" t="s">
        <v>51</v>
      </c>
      <c r="C34">
        <v>12</v>
      </c>
      <c r="D34">
        <v>6</v>
      </c>
      <c r="E34">
        <v>8.8470661016757698E-2</v>
      </c>
      <c r="F34">
        <v>0.22494542291404801</v>
      </c>
      <c r="G34">
        <v>-0.50121594509521195</v>
      </c>
      <c r="H34">
        <v>-0.684292193133754</v>
      </c>
      <c r="I34">
        <v>-1.0646011580974899</v>
      </c>
      <c r="J34">
        <v>-2.4074372604005898</v>
      </c>
    </row>
    <row r="35" spans="1:10" x14ac:dyDescent="0.2">
      <c r="A35" t="s">
        <v>56</v>
      </c>
      <c r="B35" t="s">
        <v>52</v>
      </c>
      <c r="C35">
        <v>12</v>
      </c>
      <c r="D35">
        <v>9</v>
      </c>
      <c r="E35">
        <v>8.7885690113604295E-2</v>
      </c>
      <c r="F35">
        <v>0.185910946219738</v>
      </c>
      <c r="G35">
        <v>-0.44165149437396301</v>
      </c>
      <c r="H35">
        <v>-0.51680697145904197</v>
      </c>
      <c r="I35">
        <v>-1.07827276473992</v>
      </c>
      <c r="J35">
        <v>-2.1459249340156501</v>
      </c>
    </row>
    <row r="36" spans="1:10" x14ac:dyDescent="0.2">
      <c r="A36" t="s">
        <v>56</v>
      </c>
      <c r="B36" t="s">
        <v>53</v>
      </c>
      <c r="C36">
        <v>12</v>
      </c>
      <c r="D36">
        <v>12</v>
      </c>
      <c r="E36">
        <v>0.188462696008555</v>
      </c>
      <c r="F36">
        <v>0.43612840454674201</v>
      </c>
      <c r="G36">
        <v>-0.57805382618484102</v>
      </c>
      <c r="H36">
        <v>-0.63902562042722399</v>
      </c>
      <c r="I36">
        <v>-1.12529598729486</v>
      </c>
      <c r="J36">
        <v>-2.44228975116234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4"/>
  <sheetViews>
    <sheetView workbookViewId="0">
      <pane ySplit="4" topLeftCell="A5" activePane="bottomLeft" state="frozen"/>
      <selection pane="bottomLeft"/>
    </sheetView>
  </sheetViews>
  <sheetFormatPr baseColWidth="10" defaultRowHeight="15" x14ac:dyDescent="0.2"/>
  <cols>
    <col min="1" max="1" width="47.6640625" customWidth="1"/>
    <col min="2" max="2" width="4.83203125" bestFit="1" customWidth="1"/>
    <col min="3" max="3" width="12.6640625" bestFit="1" customWidth="1"/>
    <col min="4" max="4" width="11.6640625" customWidth="1"/>
  </cols>
  <sheetData>
    <row r="1" spans="1:4" x14ac:dyDescent="0.2">
      <c r="A1" t="s">
        <v>76</v>
      </c>
    </row>
    <row r="2" spans="1:4" x14ac:dyDescent="0.2">
      <c r="A2" t="s">
        <v>77</v>
      </c>
    </row>
    <row r="4" spans="1:4" x14ac:dyDescent="0.2">
      <c r="A4" t="s">
        <v>17</v>
      </c>
      <c r="B4" t="s">
        <v>20</v>
      </c>
      <c r="C4" t="s">
        <v>78</v>
      </c>
      <c r="D4" t="s">
        <v>79</v>
      </c>
    </row>
    <row r="5" spans="1:4" x14ac:dyDescent="0.2">
      <c r="A5" t="s">
        <v>38</v>
      </c>
      <c r="B5">
        <v>236</v>
      </c>
    </row>
    <row r="6" spans="1:4" x14ac:dyDescent="0.2">
      <c r="A6" t="s">
        <v>80</v>
      </c>
      <c r="C6">
        <v>0.122981786332337</v>
      </c>
    </row>
    <row r="7" spans="1:4" x14ac:dyDescent="0.2">
      <c r="A7" t="s">
        <v>81</v>
      </c>
      <c r="D7">
        <v>8.5918672243141199</v>
      </c>
    </row>
    <row r="8" spans="1:4" x14ac:dyDescent="0.2">
      <c r="A8" t="s">
        <v>82</v>
      </c>
      <c r="D8">
        <v>-43.050188670701402</v>
      </c>
    </row>
    <row r="9" spans="1:4" x14ac:dyDescent="0.2">
      <c r="A9" t="s">
        <v>83</v>
      </c>
      <c r="D9">
        <v>20.5092111913373</v>
      </c>
    </row>
    <row r="10" spans="1:4" x14ac:dyDescent="0.2">
      <c r="A10" t="s">
        <v>39</v>
      </c>
      <c r="B10">
        <v>236</v>
      </c>
    </row>
    <row r="11" spans="1:4" x14ac:dyDescent="0.2">
      <c r="A11" t="s">
        <v>84</v>
      </c>
      <c r="C11">
        <v>-3.31030816896936E-2</v>
      </c>
    </row>
    <row r="12" spans="1:4" x14ac:dyDescent="0.2">
      <c r="A12" t="s">
        <v>85</v>
      </c>
      <c r="D12">
        <v>9.7452678125431298</v>
      </c>
    </row>
    <row r="13" spans="1:4" x14ac:dyDescent="0.2">
      <c r="A13" t="s">
        <v>86</v>
      </c>
      <c r="D13">
        <v>-48.468406200740603</v>
      </c>
    </row>
    <row r="14" spans="1:4" x14ac:dyDescent="0.2">
      <c r="A14" t="s">
        <v>87</v>
      </c>
      <c r="D14">
        <v>22.320311227710398</v>
      </c>
    </row>
    <row r="15" spans="1:4" x14ac:dyDescent="0.2">
      <c r="A15" t="s">
        <v>40</v>
      </c>
      <c r="B15">
        <v>236</v>
      </c>
    </row>
    <row r="16" spans="1:4" x14ac:dyDescent="0.2">
      <c r="A16" t="s">
        <v>88</v>
      </c>
      <c r="C16">
        <v>2.4360247270113899</v>
      </c>
    </row>
    <row r="17" spans="1:4" x14ac:dyDescent="0.2">
      <c r="A17" t="s">
        <v>89</v>
      </c>
      <c r="D17">
        <v>10.549401235062501</v>
      </c>
    </row>
    <row r="18" spans="1:4" x14ac:dyDescent="0.2">
      <c r="A18" t="s">
        <v>90</v>
      </c>
      <c r="D18">
        <v>-42.531273118059602</v>
      </c>
    </row>
    <row r="19" spans="1:4" x14ac:dyDescent="0.2">
      <c r="A19" t="s">
        <v>91</v>
      </c>
      <c r="D19">
        <v>23.898773379987201</v>
      </c>
    </row>
    <row r="20" spans="1:4" x14ac:dyDescent="0.2">
      <c r="A20" t="s">
        <v>41</v>
      </c>
      <c r="B20">
        <v>236</v>
      </c>
    </row>
    <row r="21" spans="1:4" x14ac:dyDescent="0.2">
      <c r="A21" t="s">
        <v>92</v>
      </c>
      <c r="C21">
        <v>3.1585372760467498</v>
      </c>
    </row>
    <row r="22" spans="1:4" x14ac:dyDescent="0.2">
      <c r="A22" t="s">
        <v>93</v>
      </c>
      <c r="D22">
        <v>12.5717083671537</v>
      </c>
    </row>
    <row r="23" spans="1:4" x14ac:dyDescent="0.2">
      <c r="A23" t="s">
        <v>94</v>
      </c>
      <c r="D23">
        <v>-47.2174430063125</v>
      </c>
    </row>
    <row r="24" spans="1:4" x14ac:dyDescent="0.2">
      <c r="A24" t="s">
        <v>95</v>
      </c>
      <c r="D24">
        <v>42.138875455815302</v>
      </c>
    </row>
    <row r="25" spans="1:4" x14ac:dyDescent="0.2">
      <c r="A25" t="s">
        <v>42</v>
      </c>
      <c r="B25">
        <v>233</v>
      </c>
    </row>
    <row r="26" spans="1:4" x14ac:dyDescent="0.2">
      <c r="A26" t="s">
        <v>96</v>
      </c>
      <c r="C26">
        <v>-9.0075541157898995E-2</v>
      </c>
    </row>
    <row r="27" spans="1:4" x14ac:dyDescent="0.2">
      <c r="A27" t="s">
        <v>97</v>
      </c>
      <c r="D27">
        <v>10.035035175911</v>
      </c>
    </row>
    <row r="28" spans="1:4" x14ac:dyDescent="0.2">
      <c r="A28" t="s">
        <v>98</v>
      </c>
      <c r="D28">
        <v>-54.237374584253999</v>
      </c>
    </row>
    <row r="29" spans="1:4" x14ac:dyDescent="0.2">
      <c r="A29" t="s">
        <v>99</v>
      </c>
      <c r="D29">
        <v>16.579735719436702</v>
      </c>
    </row>
    <row r="30" spans="1:4" x14ac:dyDescent="0.2">
      <c r="A30" t="s">
        <v>43</v>
      </c>
      <c r="B30">
        <v>233</v>
      </c>
    </row>
    <row r="31" spans="1:4" x14ac:dyDescent="0.2">
      <c r="A31" t="s">
        <v>100</v>
      </c>
      <c r="C31">
        <v>1.0299691533201101</v>
      </c>
    </row>
    <row r="32" spans="1:4" x14ac:dyDescent="0.2">
      <c r="A32" t="s">
        <v>101</v>
      </c>
      <c r="D32">
        <v>12.900162575731899</v>
      </c>
    </row>
    <row r="33" spans="1:4" x14ac:dyDescent="0.2">
      <c r="A33" t="s">
        <v>102</v>
      </c>
      <c r="D33">
        <v>-72.439004920215694</v>
      </c>
    </row>
    <row r="34" spans="1:4" x14ac:dyDescent="0.2">
      <c r="A34" t="s">
        <v>103</v>
      </c>
      <c r="D34">
        <v>20.9014939594792</v>
      </c>
    </row>
    <row r="35" spans="1:4" x14ac:dyDescent="0.2">
      <c r="A35" t="s">
        <v>44</v>
      </c>
      <c r="B35">
        <v>233</v>
      </c>
    </row>
    <row r="36" spans="1:4" x14ac:dyDescent="0.2">
      <c r="A36" t="s">
        <v>104</v>
      </c>
      <c r="C36">
        <v>2.1289965287274502</v>
      </c>
    </row>
    <row r="37" spans="1:4" x14ac:dyDescent="0.2">
      <c r="A37" t="s">
        <v>105</v>
      </c>
      <c r="D37">
        <v>15.8795523148149</v>
      </c>
    </row>
    <row r="38" spans="1:4" x14ac:dyDescent="0.2">
      <c r="A38" t="s">
        <v>106</v>
      </c>
      <c r="D38">
        <v>-70.789490455747696</v>
      </c>
    </row>
    <row r="39" spans="1:4" x14ac:dyDescent="0.2">
      <c r="A39" t="s">
        <v>107</v>
      </c>
      <c r="D39">
        <v>25.6903551401447</v>
      </c>
    </row>
    <row r="40" spans="1:4" x14ac:dyDescent="0.2">
      <c r="A40" t="s">
        <v>45</v>
      </c>
      <c r="B40">
        <v>233</v>
      </c>
    </row>
    <row r="41" spans="1:4" x14ac:dyDescent="0.2">
      <c r="A41" t="s">
        <v>108</v>
      </c>
      <c r="C41">
        <v>2.3271248159603202</v>
      </c>
    </row>
    <row r="42" spans="1:4" x14ac:dyDescent="0.2">
      <c r="A42" t="s">
        <v>109</v>
      </c>
      <c r="D42">
        <v>19.051620431961101</v>
      </c>
    </row>
    <row r="43" spans="1:4" x14ac:dyDescent="0.2">
      <c r="A43" t="s">
        <v>110</v>
      </c>
      <c r="D43">
        <v>-76.904765093698103</v>
      </c>
    </row>
    <row r="44" spans="1:4" x14ac:dyDescent="0.2">
      <c r="A44" t="s">
        <v>111</v>
      </c>
      <c r="D44">
        <v>27.955620835173601</v>
      </c>
    </row>
    <row r="45" spans="1:4" x14ac:dyDescent="0.2">
      <c r="A45" t="s">
        <v>46</v>
      </c>
      <c r="B45">
        <v>230</v>
      </c>
    </row>
    <row r="46" spans="1:4" x14ac:dyDescent="0.2">
      <c r="A46" t="s">
        <v>112</v>
      </c>
      <c r="C46">
        <v>1.2302407920529499</v>
      </c>
    </row>
    <row r="47" spans="1:4" x14ac:dyDescent="0.2">
      <c r="A47" t="s">
        <v>113</v>
      </c>
      <c r="D47">
        <v>10.520378644707799</v>
      </c>
    </row>
    <row r="48" spans="1:4" x14ac:dyDescent="0.2">
      <c r="A48" t="s">
        <v>114</v>
      </c>
      <c r="D48">
        <v>-59.442134982722301</v>
      </c>
    </row>
    <row r="49" spans="1:4" x14ac:dyDescent="0.2">
      <c r="A49" t="s">
        <v>115</v>
      </c>
      <c r="D49">
        <v>25.917928122906901</v>
      </c>
    </row>
    <row r="50" spans="1:4" x14ac:dyDescent="0.2">
      <c r="A50" t="s">
        <v>47</v>
      </c>
      <c r="B50">
        <v>230</v>
      </c>
    </row>
    <row r="51" spans="1:4" x14ac:dyDescent="0.2">
      <c r="A51" t="s">
        <v>116</v>
      </c>
      <c r="C51">
        <v>1.7145942135010399</v>
      </c>
    </row>
    <row r="52" spans="1:4" x14ac:dyDescent="0.2">
      <c r="A52" t="s">
        <v>117</v>
      </c>
      <c r="D52">
        <v>15.0069810539195</v>
      </c>
    </row>
    <row r="53" spans="1:4" x14ac:dyDescent="0.2">
      <c r="A53" t="s">
        <v>118</v>
      </c>
      <c r="D53">
        <v>-73.316717892047294</v>
      </c>
    </row>
    <row r="54" spans="1:4" x14ac:dyDescent="0.2">
      <c r="A54" t="s">
        <v>119</v>
      </c>
      <c r="D54">
        <v>28.9170462697769</v>
      </c>
    </row>
    <row r="55" spans="1:4" x14ac:dyDescent="0.2">
      <c r="A55" t="s">
        <v>48</v>
      </c>
      <c r="B55">
        <v>230</v>
      </c>
    </row>
    <row r="56" spans="1:4" x14ac:dyDescent="0.2">
      <c r="A56" t="s">
        <v>120</v>
      </c>
      <c r="C56">
        <v>2.26360671209014</v>
      </c>
    </row>
    <row r="57" spans="1:4" x14ac:dyDescent="0.2">
      <c r="A57" t="s">
        <v>121</v>
      </c>
      <c r="D57">
        <v>19.523369189636298</v>
      </c>
    </row>
    <row r="58" spans="1:4" x14ac:dyDescent="0.2">
      <c r="A58" t="s">
        <v>122</v>
      </c>
      <c r="D58">
        <v>-85.942136467477695</v>
      </c>
    </row>
    <row r="59" spans="1:4" x14ac:dyDescent="0.2">
      <c r="A59" t="s">
        <v>123</v>
      </c>
      <c r="D59">
        <v>30.427280918929</v>
      </c>
    </row>
    <row r="60" spans="1:4" x14ac:dyDescent="0.2">
      <c r="A60" t="s">
        <v>49</v>
      </c>
      <c r="B60">
        <v>230</v>
      </c>
    </row>
    <row r="61" spans="1:4" x14ac:dyDescent="0.2">
      <c r="A61" t="s">
        <v>124</v>
      </c>
      <c r="C61">
        <v>2.4233601569731098</v>
      </c>
    </row>
    <row r="62" spans="1:4" x14ac:dyDescent="0.2">
      <c r="A62" t="s">
        <v>125</v>
      </c>
      <c r="D62">
        <v>22.284672431197802</v>
      </c>
    </row>
    <row r="63" spans="1:4" x14ac:dyDescent="0.2">
      <c r="A63" t="s">
        <v>126</v>
      </c>
      <c r="D63">
        <v>-86.373925667570205</v>
      </c>
    </row>
    <row r="64" spans="1:4" x14ac:dyDescent="0.2">
      <c r="A64" t="s">
        <v>127</v>
      </c>
      <c r="D64">
        <v>31.492944089782899</v>
      </c>
    </row>
    <row r="65" spans="1:4" x14ac:dyDescent="0.2">
      <c r="A65" t="s">
        <v>50</v>
      </c>
      <c r="B65">
        <v>227</v>
      </c>
    </row>
    <row r="66" spans="1:4" x14ac:dyDescent="0.2">
      <c r="A66" t="s">
        <v>128</v>
      </c>
      <c r="C66">
        <v>0.70481470687853398</v>
      </c>
    </row>
    <row r="67" spans="1:4" x14ac:dyDescent="0.2">
      <c r="A67" t="s">
        <v>129</v>
      </c>
      <c r="D67">
        <v>11.602530377910499</v>
      </c>
    </row>
    <row r="68" spans="1:4" x14ac:dyDescent="0.2">
      <c r="A68" t="s">
        <v>130</v>
      </c>
      <c r="D68">
        <v>-67.024781459543306</v>
      </c>
    </row>
    <row r="69" spans="1:4" x14ac:dyDescent="0.2">
      <c r="A69" t="s">
        <v>131</v>
      </c>
      <c r="D69">
        <v>24.3954419316069</v>
      </c>
    </row>
    <row r="70" spans="1:4" x14ac:dyDescent="0.2">
      <c r="A70" t="s">
        <v>51</v>
      </c>
      <c r="B70">
        <v>227</v>
      </c>
    </row>
    <row r="71" spans="1:4" x14ac:dyDescent="0.2">
      <c r="A71" t="s">
        <v>132</v>
      </c>
      <c r="C71">
        <v>1.4848625247538501</v>
      </c>
    </row>
    <row r="72" spans="1:4" x14ac:dyDescent="0.2">
      <c r="A72" t="s">
        <v>133</v>
      </c>
      <c r="D72">
        <v>17.380644014758499</v>
      </c>
    </row>
    <row r="73" spans="1:4" x14ac:dyDescent="0.2">
      <c r="A73" t="s">
        <v>134</v>
      </c>
      <c r="D73">
        <v>-84.712324131420502</v>
      </c>
    </row>
    <row r="74" spans="1:4" x14ac:dyDescent="0.2">
      <c r="A74" t="s">
        <v>135</v>
      </c>
      <c r="D74">
        <v>28.748383732804299</v>
      </c>
    </row>
    <row r="75" spans="1:4" x14ac:dyDescent="0.2">
      <c r="A75" t="s">
        <v>52</v>
      </c>
      <c r="B75">
        <v>227</v>
      </c>
    </row>
    <row r="76" spans="1:4" x14ac:dyDescent="0.2">
      <c r="A76" t="s">
        <v>136</v>
      </c>
      <c r="C76">
        <v>2.2629799537737298</v>
      </c>
    </row>
    <row r="77" spans="1:4" x14ac:dyDescent="0.2">
      <c r="A77" t="s">
        <v>137</v>
      </c>
      <c r="D77">
        <v>22.026923414323999</v>
      </c>
    </row>
    <row r="78" spans="1:4" x14ac:dyDescent="0.2">
      <c r="A78" t="s">
        <v>138</v>
      </c>
      <c r="D78">
        <v>-95.601676926812701</v>
      </c>
    </row>
    <row r="79" spans="1:4" x14ac:dyDescent="0.2">
      <c r="A79" t="s">
        <v>139</v>
      </c>
      <c r="D79">
        <v>30.3825861323227</v>
      </c>
    </row>
    <row r="80" spans="1:4" x14ac:dyDescent="0.2">
      <c r="A80" t="s">
        <v>53</v>
      </c>
      <c r="B80">
        <v>227</v>
      </c>
    </row>
    <row r="81" spans="1:4" x14ac:dyDescent="0.2">
      <c r="A81" t="s">
        <v>140</v>
      </c>
      <c r="C81">
        <v>2.7539467945128999</v>
      </c>
    </row>
    <row r="82" spans="1:4" x14ac:dyDescent="0.2">
      <c r="A82" t="s">
        <v>141</v>
      </c>
      <c r="D82">
        <v>23.644831495400801</v>
      </c>
    </row>
    <row r="83" spans="1:4" x14ac:dyDescent="0.2">
      <c r="A83" t="s">
        <v>142</v>
      </c>
      <c r="D83">
        <v>-89.258383059379995</v>
      </c>
    </row>
    <row r="84" spans="1:4" x14ac:dyDescent="0.2">
      <c r="A84" t="s">
        <v>143</v>
      </c>
      <c r="D84">
        <v>30.9289306693572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240"/>
  <sheetViews>
    <sheetView workbookViewId="0">
      <pane ySplit="4" topLeftCell="A5" activePane="bottomLeft" state="frozen"/>
      <selection pane="bottomLeft"/>
    </sheetView>
  </sheetViews>
  <sheetFormatPr baseColWidth="10" defaultRowHeight="15" x14ac:dyDescent="0.2"/>
  <cols>
    <col min="1" max="1" width="39.6640625" customWidth="1"/>
    <col min="2" max="17" width="11.6640625" customWidth="1"/>
    <col min="18" max="18" width="6.6640625" customWidth="1"/>
    <col min="19" max="20" width="5.6640625" customWidth="1"/>
    <col min="21" max="21" width="4.6640625" customWidth="1"/>
    <col min="22" max="22" width="21.6640625" customWidth="1"/>
    <col min="23" max="23" width="11.6640625" customWidth="1"/>
    <col min="24" max="24" width="10.6640625" customWidth="1"/>
    <col min="25" max="26" width="7.6640625" customWidth="1"/>
    <col min="27" max="27" width="6.6640625" customWidth="1"/>
    <col min="28" max="32" width="11.6640625" customWidth="1"/>
  </cols>
  <sheetData>
    <row r="1" spans="1:32" x14ac:dyDescent="0.2">
      <c r="A1" t="s">
        <v>144</v>
      </c>
    </row>
    <row r="2" spans="1:32" x14ac:dyDescent="0.2">
      <c r="A2" t="s">
        <v>145</v>
      </c>
    </row>
    <row r="4" spans="1:32" x14ac:dyDescent="0.2">
      <c r="A4" t="s">
        <v>146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147</v>
      </c>
      <c r="S4" t="s">
        <v>148</v>
      </c>
      <c r="T4" t="s">
        <v>149</v>
      </c>
      <c r="U4" t="s">
        <v>150</v>
      </c>
      <c r="V4" t="s">
        <v>151</v>
      </c>
      <c r="W4" t="s">
        <v>152</v>
      </c>
      <c r="X4" t="s">
        <v>153</v>
      </c>
      <c r="Y4" t="s">
        <v>154</v>
      </c>
      <c r="Z4" t="s">
        <v>155</v>
      </c>
      <c r="AA4" t="s">
        <v>156</v>
      </c>
      <c r="AB4" t="s">
        <v>157</v>
      </c>
      <c r="AC4" t="s">
        <v>158</v>
      </c>
      <c r="AD4" t="s">
        <v>159</v>
      </c>
      <c r="AE4" t="s">
        <v>160</v>
      </c>
      <c r="AF4" t="s">
        <v>161</v>
      </c>
    </row>
    <row r="5" spans="1:32" x14ac:dyDescent="0.2">
      <c r="A5" s="1">
        <v>38868</v>
      </c>
      <c r="B5">
        <v>-2.3013832307318599E-2</v>
      </c>
      <c r="C5">
        <v>-1.1444487877347901E-2</v>
      </c>
      <c r="D5">
        <v>0.14246965173338999</v>
      </c>
      <c r="E5">
        <v>0.421388754558153</v>
      </c>
      <c r="R5">
        <v>-3.64</v>
      </c>
      <c r="S5">
        <v>-0.95</v>
      </c>
      <c r="T5">
        <v>-0.55000000000000004</v>
      </c>
      <c r="U5">
        <v>0.43</v>
      </c>
      <c r="V5">
        <v>0.78054900000000005</v>
      </c>
      <c r="X5">
        <v>-3.6400000000000002E-2</v>
      </c>
      <c r="Y5">
        <v>-9.4999999999999998E-3</v>
      </c>
      <c r="Z5">
        <v>-5.4999999999999997E-3</v>
      </c>
      <c r="AA5">
        <v>4.3E-3</v>
      </c>
    </row>
    <row r="6" spans="1:32" x14ac:dyDescent="0.2">
      <c r="A6" s="1">
        <v>38898</v>
      </c>
      <c r="B6">
        <v>-4.6436058203607099E-2</v>
      </c>
      <c r="C6">
        <v>-2.5971001736048101E-2</v>
      </c>
      <c r="D6">
        <v>5.9322619918598897E-3</v>
      </c>
      <c r="E6">
        <v>0.18672007332686899</v>
      </c>
      <c r="R6">
        <v>-0.21</v>
      </c>
      <c r="S6">
        <v>-1.61</v>
      </c>
      <c r="T6">
        <v>-0.51</v>
      </c>
      <c r="U6">
        <v>0.4</v>
      </c>
      <c r="V6">
        <v>0.78192200000000001</v>
      </c>
      <c r="W6">
        <v>1.7590183319689001E-3</v>
      </c>
      <c r="X6">
        <v>-2.0999999999999999E-3</v>
      </c>
      <c r="Y6">
        <v>-1.61E-2</v>
      </c>
      <c r="Z6">
        <v>-5.1000000000000004E-3</v>
      </c>
      <c r="AA6">
        <v>4.0000000000000001E-3</v>
      </c>
      <c r="AB6">
        <v>5.7660544052968703E-3</v>
      </c>
      <c r="AC6">
        <v>3.6623604667995698E-3</v>
      </c>
      <c r="AD6">
        <v>-2.1036939384973001E-3</v>
      </c>
      <c r="AE6">
        <v>-1.6128320195144701E-2</v>
      </c>
      <c r="AF6">
        <v>-5.1089709934930396E-3</v>
      </c>
    </row>
    <row r="7" spans="1:32" x14ac:dyDescent="0.2">
      <c r="A7" s="1">
        <v>38929</v>
      </c>
      <c r="B7">
        <v>-4.0024070915855199E-2</v>
      </c>
      <c r="C7">
        <v>-3.4483725034709298E-2</v>
      </c>
      <c r="D7">
        <v>-4.1989116278301902E-2</v>
      </c>
      <c r="E7">
        <v>0.109358795538926</v>
      </c>
      <c r="R7">
        <v>1.01</v>
      </c>
      <c r="S7">
        <v>-1.8</v>
      </c>
      <c r="T7">
        <v>1.61</v>
      </c>
      <c r="U7">
        <v>0.4</v>
      </c>
      <c r="V7">
        <v>0.78348399999999996</v>
      </c>
      <c r="W7">
        <v>1.99764170850791E-3</v>
      </c>
      <c r="X7">
        <v>1.01E-2</v>
      </c>
      <c r="Y7">
        <v>-1.7999999999999999E-2</v>
      </c>
      <c r="Z7">
        <v>1.61E-2</v>
      </c>
      <c r="AA7">
        <v>4.0000000000000001E-3</v>
      </c>
      <c r="AB7">
        <v>6.0056322753418998E-3</v>
      </c>
      <c r="AC7">
        <v>1.61258084565978E-2</v>
      </c>
      <c r="AD7">
        <v>1.0120176181255901E-2</v>
      </c>
      <c r="AE7">
        <v>-1.8035957550753101E-2</v>
      </c>
      <c r="AF7">
        <v>1.6132162031507E-2</v>
      </c>
    </row>
    <row r="8" spans="1:32" x14ac:dyDescent="0.2">
      <c r="A8" s="1">
        <v>38960</v>
      </c>
      <c r="B8">
        <v>-4.7714094476863401E-2</v>
      </c>
      <c r="C8">
        <v>-6.7817756586633901E-2</v>
      </c>
      <c r="D8">
        <v>-9.64194587718471E-2</v>
      </c>
      <c r="E8">
        <v>-1.21107420382572E-2</v>
      </c>
      <c r="F8">
        <v>-4.2965226011617598E-2</v>
      </c>
      <c r="G8">
        <v>-6.7319452561038799E-3</v>
      </c>
      <c r="H8">
        <v>8.5243509488623304E-2</v>
      </c>
      <c r="I8">
        <v>9.6599659532369694E-2</v>
      </c>
      <c r="R8">
        <v>2.7</v>
      </c>
      <c r="S8">
        <v>-0.27</v>
      </c>
      <c r="T8">
        <v>0.39</v>
      </c>
      <c r="U8">
        <v>0.42</v>
      </c>
      <c r="V8">
        <v>0.78085300000000002</v>
      </c>
      <c r="W8">
        <v>-3.3580775101980098E-3</v>
      </c>
      <c r="X8">
        <v>2.7E-2</v>
      </c>
      <c r="Y8">
        <v>-2.7000000000000001E-3</v>
      </c>
      <c r="Z8">
        <v>3.8999999999999998E-3</v>
      </c>
      <c r="AA8">
        <v>4.1999999999999997E-3</v>
      </c>
      <c r="AB8">
        <v>8.27818564259175E-4</v>
      </c>
      <c r="AC8">
        <v>2.7737150471483601E-2</v>
      </c>
      <c r="AD8">
        <v>2.6909331907224401E-2</v>
      </c>
      <c r="AE8">
        <v>-2.6909331907224699E-3</v>
      </c>
      <c r="AF8">
        <v>3.8869034977102299E-3</v>
      </c>
    </row>
    <row r="9" spans="1:32" x14ac:dyDescent="0.2">
      <c r="A9" s="1">
        <v>38990</v>
      </c>
      <c r="B9">
        <v>-2.2216498720976099E-2</v>
      </c>
      <c r="C9">
        <v>-6.1832194509725498E-2</v>
      </c>
      <c r="D9">
        <v>-7.0481526583872106E-2</v>
      </c>
      <c r="E9">
        <v>-3.38617225445406E-3</v>
      </c>
      <c r="F9">
        <v>-3.3512735595879403E-2</v>
      </c>
      <c r="G9">
        <v>-5.70215765649741E-2</v>
      </c>
      <c r="H9">
        <v>5.3567658545456101E-2</v>
      </c>
      <c r="I9">
        <v>-2.18711528877528E-2</v>
      </c>
      <c r="R9">
        <v>0.69</v>
      </c>
      <c r="S9">
        <v>0.08</v>
      </c>
      <c r="T9">
        <v>0.32</v>
      </c>
      <c r="U9">
        <v>0.41</v>
      </c>
      <c r="V9">
        <v>0.78914099999999998</v>
      </c>
      <c r="W9">
        <v>1.06140336273279E-2</v>
      </c>
      <c r="X9">
        <v>6.8999999999999999E-3</v>
      </c>
      <c r="Y9">
        <v>8.0000000000000004E-4</v>
      </c>
      <c r="Z9">
        <v>3.2000000000000002E-3</v>
      </c>
      <c r="AA9">
        <v>4.1000000000000003E-3</v>
      </c>
      <c r="AB9">
        <v>1.4757551165200101E-2</v>
      </c>
      <c r="AC9">
        <v>2.1730787997228398E-2</v>
      </c>
      <c r="AD9">
        <v>6.9732368320283298E-3</v>
      </c>
      <c r="AE9">
        <v>8.0849122690186204E-4</v>
      </c>
      <c r="AF9">
        <v>3.2339649076074499E-3</v>
      </c>
    </row>
    <row r="10" spans="1:32" x14ac:dyDescent="0.2">
      <c r="A10" s="1">
        <v>39021</v>
      </c>
      <c r="B10">
        <v>-3.3739948528249998E-2</v>
      </c>
      <c r="C10">
        <v>-5.18775696246037E-2</v>
      </c>
      <c r="D10">
        <v>-6.3028476538273398E-2</v>
      </c>
      <c r="E10">
        <v>-1.3606109671298E-2</v>
      </c>
      <c r="F10">
        <v>-6.1668479230915701E-2</v>
      </c>
      <c r="G10">
        <v>-5.3742703364701903E-2</v>
      </c>
      <c r="H10">
        <v>4.0958794751626199E-2</v>
      </c>
      <c r="I10">
        <v>1.1721722952251301E-2</v>
      </c>
      <c r="R10">
        <v>3.82</v>
      </c>
      <c r="S10">
        <v>0.09</v>
      </c>
      <c r="T10">
        <v>1.5</v>
      </c>
      <c r="U10">
        <v>0.41</v>
      </c>
      <c r="V10">
        <v>0.78351499999999996</v>
      </c>
      <c r="W10">
        <v>-7.12927094144145E-3</v>
      </c>
      <c r="X10">
        <v>3.8199999999999998E-2</v>
      </c>
      <c r="Y10">
        <v>8.9999999999999998E-4</v>
      </c>
      <c r="Z10">
        <v>1.4999999999999999E-2</v>
      </c>
      <c r="AA10">
        <v>4.1000000000000003E-3</v>
      </c>
      <c r="AB10">
        <v>-3.0585009523013099E-3</v>
      </c>
      <c r="AC10">
        <v>3.4869160897735597E-2</v>
      </c>
      <c r="AD10">
        <v>3.7927661850036903E-2</v>
      </c>
      <c r="AE10">
        <v>8.9358365615270301E-4</v>
      </c>
      <c r="AF10">
        <v>1.48930609358784E-2</v>
      </c>
    </row>
    <row r="11" spans="1:32" x14ac:dyDescent="0.2">
      <c r="A11" s="1">
        <v>39051</v>
      </c>
      <c r="B11">
        <v>-1.7400919721033501E-2</v>
      </c>
      <c r="C11">
        <v>-3.5441308483045698E-2</v>
      </c>
      <c r="D11">
        <v>-4.6098620159740901E-2</v>
      </c>
      <c r="E11">
        <v>-4.1087270493161401E-3</v>
      </c>
      <c r="F11">
        <v>-6.2500492548748496E-2</v>
      </c>
      <c r="G11">
        <v>-2.2956945778322298E-2</v>
      </c>
      <c r="H11">
        <v>3.1592615248985101E-2</v>
      </c>
      <c r="I11">
        <v>3.1842680559851899E-2</v>
      </c>
      <c r="J11">
        <v>2.2092650154224801E-2</v>
      </c>
      <c r="K11">
        <v>0.16088417971428201</v>
      </c>
      <c r="L11">
        <v>0.11747489580210201</v>
      </c>
      <c r="M11">
        <v>0.116245261985883</v>
      </c>
      <c r="R11">
        <v>3.76</v>
      </c>
      <c r="S11">
        <v>2.58</v>
      </c>
      <c r="T11">
        <v>0.34</v>
      </c>
      <c r="U11">
        <v>0.42</v>
      </c>
      <c r="V11">
        <v>0.75522999999999996</v>
      </c>
      <c r="W11">
        <v>-3.61001384785231E-2</v>
      </c>
      <c r="X11">
        <v>3.7600000000000001E-2</v>
      </c>
      <c r="Y11">
        <v>2.58E-2</v>
      </c>
      <c r="Z11">
        <v>3.3999999999999998E-3</v>
      </c>
      <c r="AA11">
        <v>4.1999999999999997E-3</v>
      </c>
      <c r="AB11">
        <v>-3.2051759060132898E-2</v>
      </c>
      <c r="AC11">
        <v>4.1908757330746402E-3</v>
      </c>
      <c r="AD11">
        <v>3.62426347932076E-2</v>
      </c>
      <c r="AE11">
        <v>2.48686164272541E-2</v>
      </c>
      <c r="AF11">
        <v>3.2772595291730199E-3</v>
      </c>
    </row>
    <row r="12" spans="1:32" x14ac:dyDescent="0.2">
      <c r="A12" s="1">
        <v>39082</v>
      </c>
      <c r="B12">
        <v>-1.92769578765782E-2</v>
      </c>
      <c r="C12">
        <v>-7.6271938050019999E-3</v>
      </c>
      <c r="D12">
        <v>-2.4457084907308101E-2</v>
      </c>
      <c r="E12">
        <v>2.57412147825717E-2</v>
      </c>
      <c r="F12">
        <v>-5.0778312221556703E-2</v>
      </c>
      <c r="G12">
        <v>2.1053280440360599E-2</v>
      </c>
      <c r="H12">
        <v>6.5243017309986495E-2</v>
      </c>
      <c r="I12">
        <v>8.6101019351906893E-2</v>
      </c>
      <c r="J12">
        <v>-5.5817387467319299E-3</v>
      </c>
      <c r="K12">
        <v>0.13456227597766701</v>
      </c>
      <c r="L12">
        <v>0.117952231673388</v>
      </c>
      <c r="M12">
        <v>0.14192914035776699</v>
      </c>
      <c r="R12">
        <v>3.32</v>
      </c>
      <c r="S12">
        <v>0.97</v>
      </c>
      <c r="T12">
        <v>0.55000000000000004</v>
      </c>
      <c r="U12">
        <v>0.4</v>
      </c>
      <c r="V12">
        <v>0.757633</v>
      </c>
      <c r="W12">
        <v>3.1818121631821401E-3</v>
      </c>
      <c r="X12">
        <v>3.32E-2</v>
      </c>
      <c r="Y12">
        <v>9.7000000000000003E-3</v>
      </c>
      <c r="Z12">
        <v>5.4999999999999997E-3</v>
      </c>
      <c r="AA12">
        <v>4.0000000000000001E-3</v>
      </c>
      <c r="AB12">
        <v>7.1945394118349002E-3</v>
      </c>
      <c r="AC12">
        <v>4.05001755756524E-2</v>
      </c>
      <c r="AD12">
        <v>3.3305636163817501E-2</v>
      </c>
      <c r="AE12">
        <v>9.7308635779828692E-3</v>
      </c>
      <c r="AF12">
        <v>5.5174999668974999E-3</v>
      </c>
    </row>
    <row r="13" spans="1:32" x14ac:dyDescent="0.2">
      <c r="A13" s="1">
        <v>39113</v>
      </c>
      <c r="B13">
        <v>2.9410242047661E-2</v>
      </c>
      <c r="C13">
        <v>1.8291325267355801E-2</v>
      </c>
      <c r="D13">
        <v>-1.9607151785353901E-3</v>
      </c>
      <c r="E13">
        <v>4.99382847900788E-2</v>
      </c>
      <c r="F13">
        <v>1.15072788463032E-2</v>
      </c>
      <c r="G13">
        <v>2.56976177922714E-2</v>
      </c>
      <c r="H13">
        <v>6.6899140797696904E-2</v>
      </c>
      <c r="I13">
        <v>0.109769562075826</v>
      </c>
      <c r="J13">
        <v>3.1796012994269797E-2</v>
      </c>
      <c r="K13">
        <v>0.138225549201655</v>
      </c>
      <c r="L13">
        <v>0.15939584113340299</v>
      </c>
      <c r="M13">
        <v>0.224471171873044</v>
      </c>
      <c r="R13">
        <v>0.61</v>
      </c>
      <c r="S13">
        <v>1.88</v>
      </c>
      <c r="T13">
        <v>0.77</v>
      </c>
      <c r="U13">
        <v>0.44</v>
      </c>
      <c r="V13">
        <v>0.76719499999999996</v>
      </c>
      <c r="W13">
        <v>1.26208863658261E-2</v>
      </c>
      <c r="X13">
        <v>6.1000000000000004E-3</v>
      </c>
      <c r="Y13">
        <v>1.8800000000000001E-2</v>
      </c>
      <c r="Z13">
        <v>7.7000000000000002E-3</v>
      </c>
      <c r="AA13">
        <v>4.4000000000000003E-3</v>
      </c>
      <c r="AB13">
        <v>1.7076418265835801E-2</v>
      </c>
      <c r="AC13">
        <v>2.3253405672667201E-2</v>
      </c>
      <c r="AD13">
        <v>6.1769874068313699E-3</v>
      </c>
      <c r="AE13">
        <v>1.9037272663677499E-2</v>
      </c>
      <c r="AF13">
        <v>7.7971808250168603E-3</v>
      </c>
    </row>
    <row r="14" spans="1:32" x14ac:dyDescent="0.2">
      <c r="A14" s="1">
        <v>39141</v>
      </c>
      <c r="B14">
        <v>4.8725350149592297E-2</v>
      </c>
      <c r="C14">
        <v>5.7217684114053501E-2</v>
      </c>
      <c r="D14">
        <v>1.14142741869888E-3</v>
      </c>
      <c r="E14">
        <v>6.5909513325733304E-2</v>
      </c>
      <c r="F14">
        <v>6.8099765781512694E-2</v>
      </c>
      <c r="G14">
        <v>3.9874563976749898E-2</v>
      </c>
      <c r="H14">
        <v>7.8168290284974296E-2</v>
      </c>
      <c r="I14">
        <v>0.122892701002887</v>
      </c>
      <c r="J14">
        <v>6.6434528361332498E-2</v>
      </c>
      <c r="K14">
        <v>0.111322111751678</v>
      </c>
      <c r="L14">
        <v>0.15231882383149201</v>
      </c>
      <c r="M14">
        <v>0.20400832017694101</v>
      </c>
      <c r="N14">
        <v>0.128732120694902</v>
      </c>
      <c r="O14">
        <v>0.119900306950604</v>
      </c>
      <c r="P14">
        <v>0.30382586132322698</v>
      </c>
      <c r="Q14">
        <v>0.28777825373771299</v>
      </c>
      <c r="R14">
        <v>-0.51</v>
      </c>
      <c r="S14">
        <v>1.23</v>
      </c>
      <c r="T14">
        <v>-0.09</v>
      </c>
      <c r="U14">
        <v>0.38</v>
      </c>
      <c r="V14">
        <v>0.75560099999999997</v>
      </c>
      <c r="W14">
        <v>-1.51121944225392E-2</v>
      </c>
      <c r="X14">
        <v>-5.1000000000000004E-3</v>
      </c>
      <c r="Y14">
        <v>1.23E-2</v>
      </c>
      <c r="Z14">
        <v>-8.9999999999999998E-4</v>
      </c>
      <c r="AA14">
        <v>3.8E-3</v>
      </c>
      <c r="AB14">
        <v>-1.13696207613448E-2</v>
      </c>
      <c r="AC14">
        <v>-1.6392548569789899E-2</v>
      </c>
      <c r="AD14">
        <v>-5.02292780844504E-3</v>
      </c>
      <c r="AE14">
        <v>1.21141200086028E-2</v>
      </c>
      <c r="AF14">
        <v>-8.8639902501971499E-4</v>
      </c>
    </row>
    <row r="15" spans="1:32" x14ac:dyDescent="0.2">
      <c r="A15" s="1">
        <v>39172</v>
      </c>
      <c r="B15">
        <v>8.3423195472143996E-2</v>
      </c>
      <c r="C15">
        <v>7.6691512070465401E-2</v>
      </c>
      <c r="D15">
        <v>3.3048964583983702E-2</v>
      </c>
      <c r="E15">
        <v>7.5960679592808597E-2</v>
      </c>
      <c r="F15">
        <v>8.4399463997519797E-2</v>
      </c>
      <c r="G15">
        <v>5.5022246021035399E-2</v>
      </c>
      <c r="H15">
        <v>7.3878999518768099E-2</v>
      </c>
      <c r="I15">
        <v>0.115791002183613</v>
      </c>
      <c r="J15">
        <v>0.113267280872464</v>
      </c>
      <c r="K15">
        <v>0.11168947457301601</v>
      </c>
      <c r="L15">
        <v>0.161138576124607</v>
      </c>
      <c r="M15">
        <v>0.20458621357552201</v>
      </c>
      <c r="N15">
        <v>9.1817984755224097E-2</v>
      </c>
      <c r="O15">
        <v>8.0977983667287895E-2</v>
      </c>
      <c r="P15">
        <v>0.21479547527645801</v>
      </c>
      <c r="Q15">
        <v>0.23511239062743899</v>
      </c>
      <c r="R15">
        <v>3.71</v>
      </c>
      <c r="S15">
        <v>0.68</v>
      </c>
      <c r="T15">
        <v>0.04</v>
      </c>
      <c r="U15">
        <v>0.43</v>
      </c>
      <c r="V15">
        <v>0.74861500000000003</v>
      </c>
      <c r="W15">
        <v>-9.2456203737156795E-3</v>
      </c>
      <c r="X15">
        <v>3.7100000000000001E-2</v>
      </c>
      <c r="Y15">
        <v>6.7999999999999996E-3</v>
      </c>
      <c r="Z15">
        <v>4.0000000000000002E-4</v>
      </c>
      <c r="AA15">
        <v>4.3E-3</v>
      </c>
      <c r="AB15">
        <v>-4.9853765413226999E-3</v>
      </c>
      <c r="AC15">
        <v>3.1771610942812299E-2</v>
      </c>
      <c r="AD15">
        <v>3.6756987484135001E-2</v>
      </c>
      <c r="AE15">
        <v>6.7371297814587299E-3</v>
      </c>
      <c r="AF15">
        <v>3.9630175185051398E-4</v>
      </c>
    </row>
    <row r="16" spans="1:32" x14ac:dyDescent="0.2">
      <c r="A16" s="1">
        <v>39202</v>
      </c>
      <c r="B16">
        <v>7.4804269886154004E-2</v>
      </c>
      <c r="C16">
        <v>8.3545050065599494E-2</v>
      </c>
      <c r="D16">
        <v>5.4401674106042498E-2</v>
      </c>
      <c r="E16">
        <v>7.63638148904041E-2</v>
      </c>
      <c r="F16">
        <v>7.2626121261572196E-2</v>
      </c>
      <c r="G16">
        <v>7.3901088346138094E-2</v>
      </c>
      <c r="H16">
        <v>7.56425169657617E-2</v>
      </c>
      <c r="I16">
        <v>0.109875735709086</v>
      </c>
      <c r="J16">
        <v>7.7284750260036394E-2</v>
      </c>
      <c r="K16">
        <v>9.5174142774647794E-2</v>
      </c>
      <c r="L16">
        <v>0.14954671822528501</v>
      </c>
      <c r="M16">
        <v>0.177097187391863</v>
      </c>
      <c r="N16">
        <v>6.9185728516362996E-2</v>
      </c>
      <c r="O16">
        <v>7.1889730260994197E-2</v>
      </c>
      <c r="P16">
        <v>0.19705194448246799</v>
      </c>
      <c r="Q16">
        <v>0.22167362376500299</v>
      </c>
      <c r="R16">
        <v>5.54</v>
      </c>
      <c r="S16">
        <v>-0.26</v>
      </c>
      <c r="T16">
        <v>1.26</v>
      </c>
      <c r="U16">
        <v>0.44</v>
      </c>
      <c r="V16">
        <v>0.73278900000000002</v>
      </c>
      <c r="W16">
        <v>-2.1140372554651E-2</v>
      </c>
      <c r="X16">
        <v>5.5399999999999998E-2</v>
      </c>
      <c r="Y16">
        <v>-2.5999999999999999E-3</v>
      </c>
      <c r="Z16">
        <v>1.26E-2</v>
      </c>
      <c r="AA16">
        <v>4.4000000000000003E-3</v>
      </c>
      <c r="AB16">
        <v>-1.68333901938914E-2</v>
      </c>
      <c r="AC16">
        <v>3.7395433166580699E-2</v>
      </c>
      <c r="AD16">
        <v>5.4228823360472099E-2</v>
      </c>
      <c r="AE16">
        <v>-2.5450350313579099E-3</v>
      </c>
      <c r="AF16">
        <v>1.23336313058114E-2</v>
      </c>
    </row>
    <row r="17" spans="1:32" x14ac:dyDescent="0.2">
      <c r="A17" s="1">
        <v>39233</v>
      </c>
      <c r="B17">
        <v>7.8294662201438006E-2</v>
      </c>
      <c r="C17">
        <v>8.2659430713625401E-2</v>
      </c>
      <c r="D17">
        <v>8.5578936444012405E-2</v>
      </c>
      <c r="E17">
        <v>4.6826402302653898E-2</v>
      </c>
      <c r="F17">
        <v>3.15200039559883E-2</v>
      </c>
      <c r="G17">
        <v>7.5684389300908303E-2</v>
      </c>
      <c r="H17">
        <v>7.1087549683457998E-2</v>
      </c>
      <c r="I17">
        <v>0.117535477118087</v>
      </c>
      <c r="J17">
        <v>3.1148128148025998E-2</v>
      </c>
      <c r="K17">
        <v>7.7222692978679799E-2</v>
      </c>
      <c r="L17">
        <v>0.137349805709753</v>
      </c>
      <c r="M17">
        <v>0.175867494980356</v>
      </c>
      <c r="N17">
        <v>3.5079179778426402E-2</v>
      </c>
      <c r="O17">
        <v>8.87041024556596E-2</v>
      </c>
      <c r="P17">
        <v>0.18885399056543301</v>
      </c>
      <c r="Q17">
        <v>0.23895873550583699</v>
      </c>
      <c r="R17">
        <v>1.56</v>
      </c>
      <c r="S17">
        <v>-0.72</v>
      </c>
      <c r="T17">
        <v>0.56000000000000005</v>
      </c>
      <c r="U17">
        <v>0.41</v>
      </c>
      <c r="V17">
        <v>0.74335600000000002</v>
      </c>
      <c r="W17">
        <v>1.4420249212256301E-2</v>
      </c>
      <c r="X17">
        <v>1.5599999999999999E-2</v>
      </c>
      <c r="Y17">
        <v>-7.1999999999999998E-3</v>
      </c>
      <c r="Z17">
        <v>5.5999999999999999E-3</v>
      </c>
      <c r="AA17">
        <v>4.1000000000000003E-3</v>
      </c>
      <c r="AB17">
        <v>1.85793722340266E-2</v>
      </c>
      <c r="AC17">
        <v>3.4404328121737701E-2</v>
      </c>
      <c r="AD17">
        <v>1.5824955887711E-2</v>
      </c>
      <c r="AE17">
        <v>-7.3038257943282402E-3</v>
      </c>
      <c r="AF17">
        <v>5.6807533955886402E-3</v>
      </c>
    </row>
    <row r="18" spans="1:32" x14ac:dyDescent="0.2">
      <c r="A18" s="1">
        <v>39263</v>
      </c>
      <c r="B18">
        <v>4.7601398730871103E-2</v>
      </c>
      <c r="C18">
        <v>7.7972934368374297E-2</v>
      </c>
      <c r="D18">
        <v>9.4854367807882603E-2</v>
      </c>
      <c r="E18">
        <v>4.2743661703417701E-2</v>
      </c>
      <c r="F18">
        <v>1.38418202961885E-2</v>
      </c>
      <c r="G18">
        <v>5.8835005249174198E-2</v>
      </c>
      <c r="H18">
        <v>8.8243289624268403E-2</v>
      </c>
      <c r="I18">
        <v>9.3739496344768802E-2</v>
      </c>
      <c r="J18">
        <v>2.4117653634984399E-3</v>
      </c>
      <c r="K18">
        <v>6.6366831143902794E-2</v>
      </c>
      <c r="L18">
        <v>0.13069966893780999</v>
      </c>
      <c r="M18">
        <v>0.17620204804709599</v>
      </c>
      <c r="N18">
        <v>4.1779528747280699E-2</v>
      </c>
      <c r="O18">
        <v>0.113737201055927</v>
      </c>
      <c r="P18">
        <v>0.19621255936918999</v>
      </c>
      <c r="Q18">
        <v>0.24499973206039599</v>
      </c>
      <c r="R18">
        <v>-0.16</v>
      </c>
      <c r="S18">
        <v>-0.66</v>
      </c>
      <c r="T18">
        <v>0.4</v>
      </c>
      <c r="U18">
        <v>0.4</v>
      </c>
      <c r="V18">
        <v>0.73847099999999999</v>
      </c>
      <c r="W18">
        <v>-6.5715484908980297E-3</v>
      </c>
      <c r="X18">
        <v>-1.6000000000000001E-3</v>
      </c>
      <c r="Y18">
        <v>-6.6E-3</v>
      </c>
      <c r="Z18">
        <v>4.0000000000000001E-3</v>
      </c>
      <c r="AA18">
        <v>4.0000000000000001E-3</v>
      </c>
      <c r="AB18">
        <v>-2.5978346848616299E-3</v>
      </c>
      <c r="AC18">
        <v>-4.1873202072761897E-3</v>
      </c>
      <c r="AD18">
        <v>-1.58948552241456E-3</v>
      </c>
      <c r="AE18">
        <v>-6.5566277799600703E-3</v>
      </c>
      <c r="AF18">
        <v>3.9737138060364097E-3</v>
      </c>
    </row>
    <row r="19" spans="1:32" x14ac:dyDescent="0.2">
      <c r="A19" s="1">
        <v>39294</v>
      </c>
      <c r="B19">
        <v>3.6599885369398601E-2</v>
      </c>
      <c r="C19">
        <v>8.0276754214458998E-2</v>
      </c>
      <c r="D19">
        <v>0.11701694470366</v>
      </c>
      <c r="E19">
        <v>4.7457364270287003E-2</v>
      </c>
      <c r="F19">
        <v>1.1967703867911199E-2</v>
      </c>
      <c r="G19">
        <v>6.4818461590536502E-2</v>
      </c>
      <c r="H19">
        <v>0.102931035473213</v>
      </c>
      <c r="I19">
        <v>9.31624364071275E-2</v>
      </c>
      <c r="J19">
        <v>1.16782100488189E-2</v>
      </c>
      <c r="K19">
        <v>5.5693819513440102E-2</v>
      </c>
      <c r="L19">
        <v>0.12950985251359301</v>
      </c>
      <c r="M19">
        <v>0.181029483433268</v>
      </c>
      <c r="N19">
        <v>5.2261326339540802E-2</v>
      </c>
      <c r="O19">
        <v>0.12753605599133899</v>
      </c>
      <c r="P19">
        <v>0.199137221063339</v>
      </c>
      <c r="Q19">
        <v>0.25021156015888102</v>
      </c>
      <c r="R19">
        <v>-2.2200000000000002</v>
      </c>
      <c r="S19">
        <v>1.81</v>
      </c>
      <c r="T19">
        <v>-0.36</v>
      </c>
      <c r="U19">
        <v>0.4</v>
      </c>
      <c r="V19">
        <v>0.73136800000000002</v>
      </c>
      <c r="W19">
        <v>-9.6185225960124798E-3</v>
      </c>
      <c r="X19">
        <v>-2.2200000000000001E-2</v>
      </c>
      <c r="Y19">
        <v>1.8100000000000002E-2</v>
      </c>
      <c r="Z19">
        <v>-3.5999999999999999E-3</v>
      </c>
      <c r="AA19">
        <v>4.0000000000000001E-3</v>
      </c>
      <c r="AB19">
        <v>-5.6569966863965204E-3</v>
      </c>
      <c r="AC19">
        <v>-2.7643465484765001E-2</v>
      </c>
      <c r="AD19">
        <v>-2.1986468798368498E-2</v>
      </c>
      <c r="AE19">
        <v>1.7925904741012199E-2</v>
      </c>
      <c r="AF19">
        <v>-3.56537331865435E-3</v>
      </c>
    </row>
    <row r="20" spans="1:32" x14ac:dyDescent="0.2">
      <c r="A20" s="1">
        <v>39325</v>
      </c>
      <c r="B20">
        <v>2.1750987337197599E-2</v>
      </c>
      <c r="C20">
        <v>6.5129724446063006E-2</v>
      </c>
      <c r="D20">
        <v>0.10407835402402001</v>
      </c>
      <c r="E20">
        <v>7.0917388595526806E-2</v>
      </c>
      <c r="F20">
        <v>2.30589516707796E-2</v>
      </c>
      <c r="G20">
        <v>5.0181542516836701E-2</v>
      </c>
      <c r="H20">
        <v>0.109653029417835</v>
      </c>
      <c r="I20">
        <v>9.2611682687028102E-2</v>
      </c>
      <c r="J20">
        <v>3.9198259563654997E-2</v>
      </c>
      <c r="K20">
        <v>5.9915166616392602E-2</v>
      </c>
      <c r="L20">
        <v>0.13530438175712101</v>
      </c>
      <c r="M20">
        <v>0.180348615413017</v>
      </c>
      <c r="N20">
        <v>6.4635904387377E-2</v>
      </c>
      <c r="O20">
        <v>0.119871821518567</v>
      </c>
      <c r="P20">
        <v>0.19047033109193601</v>
      </c>
      <c r="Q20">
        <v>0.23457492472800401</v>
      </c>
      <c r="R20">
        <v>-2.08</v>
      </c>
      <c r="S20">
        <v>-3.16</v>
      </c>
      <c r="T20">
        <v>-0.06</v>
      </c>
      <c r="U20">
        <v>0.42</v>
      </c>
      <c r="V20">
        <v>0.73367599999999999</v>
      </c>
      <c r="W20">
        <v>3.1557300838975801E-3</v>
      </c>
      <c r="X20">
        <v>-2.0799999999999999E-2</v>
      </c>
      <c r="Y20">
        <v>-3.1600000000000003E-2</v>
      </c>
      <c r="Z20">
        <v>-5.9999999999999995E-4</v>
      </c>
      <c r="AA20">
        <v>4.1999999999999997E-3</v>
      </c>
      <c r="AB20">
        <v>7.3689841502500002E-3</v>
      </c>
      <c r="AC20">
        <v>-1.34966550354951E-2</v>
      </c>
      <c r="AD20">
        <v>-2.0865639185745102E-2</v>
      </c>
      <c r="AE20">
        <v>-3.16997210706512E-2</v>
      </c>
      <c r="AF20">
        <v>-6.0189343805033802E-4</v>
      </c>
    </row>
    <row r="21" spans="1:32" x14ac:dyDescent="0.2">
      <c r="A21" s="1">
        <v>39355</v>
      </c>
      <c r="B21">
        <v>3.6350773044372599E-2</v>
      </c>
      <c r="C21">
        <v>6.3864702129111994E-2</v>
      </c>
      <c r="D21">
        <v>6.54365437767125E-2</v>
      </c>
      <c r="E21">
        <v>6.2616894507498494E-2</v>
      </c>
      <c r="F21">
        <v>3.98265924961076E-2</v>
      </c>
      <c r="G21">
        <v>7.10804908498784E-2</v>
      </c>
      <c r="H21">
        <v>6.4859074129555702E-2</v>
      </c>
      <c r="I21">
        <v>0.101953522899925</v>
      </c>
      <c r="J21">
        <v>7.8478180279277901E-2</v>
      </c>
      <c r="K21">
        <v>6.7951135827829801E-2</v>
      </c>
      <c r="L21">
        <v>0.102403172522525</v>
      </c>
      <c r="M21">
        <v>0.16931007599376899</v>
      </c>
      <c r="N21">
        <v>6.3571997618155698E-2</v>
      </c>
      <c r="O21">
        <v>0.13253491556847699</v>
      </c>
      <c r="P21">
        <v>0.19336449890278501</v>
      </c>
      <c r="Q21">
        <v>0.22998273872459099</v>
      </c>
      <c r="R21">
        <v>4.82</v>
      </c>
      <c r="S21">
        <v>-3.72</v>
      </c>
      <c r="T21">
        <v>-0.85</v>
      </c>
      <c r="U21">
        <v>0.32</v>
      </c>
      <c r="V21">
        <v>0.70067299999999999</v>
      </c>
      <c r="W21">
        <v>-4.49830715465682E-2</v>
      </c>
      <c r="X21">
        <v>4.82E-2</v>
      </c>
      <c r="Y21">
        <v>-3.7199999999999997E-2</v>
      </c>
      <c r="Z21">
        <v>-8.5000000000000006E-3</v>
      </c>
      <c r="AA21">
        <v>3.2000000000000002E-3</v>
      </c>
      <c r="AB21">
        <v>-4.1927017375517198E-2</v>
      </c>
      <c r="AC21">
        <v>4.1047985759383697E-3</v>
      </c>
      <c r="AD21">
        <v>4.6031815951455599E-2</v>
      </c>
      <c r="AE21">
        <v>-3.5526629738467701E-2</v>
      </c>
      <c r="AF21">
        <v>-8.1176438918541694E-3</v>
      </c>
    </row>
    <row r="22" spans="1:32" x14ac:dyDescent="0.2">
      <c r="A22" s="1">
        <v>39386</v>
      </c>
      <c r="B22">
        <v>3.2880078642834397E-2</v>
      </c>
      <c r="C22">
        <v>6.5293458357282605E-2</v>
      </c>
      <c r="D22">
        <v>3.07763912298799E-2</v>
      </c>
      <c r="E22">
        <v>5.23036186303103E-2</v>
      </c>
      <c r="F22">
        <v>4.7996974244819302E-2</v>
      </c>
      <c r="G22">
        <v>7.7931225743990098E-2</v>
      </c>
      <c r="H22">
        <v>5.3489861619204902E-2</v>
      </c>
      <c r="I22">
        <v>8.7949214508317899E-2</v>
      </c>
      <c r="J22">
        <v>8.4617677572237801E-2</v>
      </c>
      <c r="K22">
        <v>8.2188552736545295E-2</v>
      </c>
      <c r="L22">
        <v>6.6626381652143699E-2</v>
      </c>
      <c r="M22">
        <v>0.148023723341937</v>
      </c>
      <c r="N22">
        <v>6.19036849248258E-2</v>
      </c>
      <c r="O22">
        <v>0.13902158303567499</v>
      </c>
      <c r="P22">
        <v>0.19673980248313599</v>
      </c>
      <c r="Q22">
        <v>0.200821272966824</v>
      </c>
      <c r="R22">
        <v>4.34</v>
      </c>
      <c r="S22">
        <v>0.42</v>
      </c>
      <c r="T22">
        <v>-0.92</v>
      </c>
      <c r="U22">
        <v>0.32</v>
      </c>
      <c r="V22">
        <v>0.69055999999999995</v>
      </c>
      <c r="W22">
        <v>-1.44332663025406E-2</v>
      </c>
      <c r="X22">
        <v>4.3400000000000001E-2</v>
      </c>
      <c r="Y22">
        <v>4.1999999999999997E-3</v>
      </c>
      <c r="Z22">
        <v>-9.1999999999999998E-3</v>
      </c>
      <c r="AA22">
        <v>3.2000000000000002E-3</v>
      </c>
      <c r="AB22">
        <v>-1.1279452754708701E-2</v>
      </c>
      <c r="AC22">
        <v>3.1494143487761098E-2</v>
      </c>
      <c r="AD22">
        <v>4.2773596242469798E-2</v>
      </c>
      <c r="AE22">
        <v>4.13938028152933E-3</v>
      </c>
      <c r="AF22">
        <v>-9.0672139500166306E-3</v>
      </c>
    </row>
    <row r="23" spans="1:32" x14ac:dyDescent="0.2">
      <c r="A23" s="1">
        <v>39416</v>
      </c>
      <c r="B23">
        <v>4.6917683529395002E-2</v>
      </c>
      <c r="C23">
        <v>5.3922500588920702E-2</v>
      </c>
      <c r="D23">
        <v>4.1074995001561601E-3</v>
      </c>
      <c r="E23">
        <v>3.5539095755487103E-2</v>
      </c>
      <c r="F23">
        <v>5.7958118949017298E-2</v>
      </c>
      <c r="G23">
        <v>7.3446878567451995E-2</v>
      </c>
      <c r="H23">
        <v>3.5979813581356303E-2</v>
      </c>
      <c r="I23">
        <v>7.1875727375047799E-2</v>
      </c>
      <c r="J23">
        <v>7.3394941065177494E-2</v>
      </c>
      <c r="K23">
        <v>7.14969475067921E-2</v>
      </c>
      <c r="L23">
        <v>4.1842666108899897E-2</v>
      </c>
      <c r="M23">
        <v>0.124356733748093</v>
      </c>
      <c r="N23">
        <v>5.5596321298549502E-2</v>
      </c>
      <c r="O23">
        <v>0.114906586387968</v>
      </c>
      <c r="P23">
        <v>0.15250484454275301</v>
      </c>
      <c r="Q23">
        <v>0.16477886158985799</v>
      </c>
      <c r="R23">
        <v>-4.03</v>
      </c>
      <c r="S23">
        <v>-4.7699999999999996</v>
      </c>
      <c r="T23">
        <v>-1.76</v>
      </c>
      <c r="U23">
        <v>0.34</v>
      </c>
      <c r="V23">
        <v>0.68340999999999996</v>
      </c>
      <c r="W23">
        <v>-1.03539156626505E-2</v>
      </c>
      <c r="X23">
        <v>-4.0300000000000002E-2</v>
      </c>
      <c r="Y23">
        <v>-4.7699999999999999E-2</v>
      </c>
      <c r="Z23">
        <v>-1.7600000000000001E-2</v>
      </c>
      <c r="AA23">
        <v>3.3999999999999998E-3</v>
      </c>
      <c r="AB23">
        <v>-6.9891189759034899E-3</v>
      </c>
      <c r="AC23">
        <v>-4.6871856174698703E-2</v>
      </c>
      <c r="AD23">
        <v>-3.9882737198795197E-2</v>
      </c>
      <c r="AE23">
        <v>-4.7206118222891599E-2</v>
      </c>
      <c r="AF23">
        <v>-1.74177710843374E-2</v>
      </c>
    </row>
    <row r="24" spans="1:32" x14ac:dyDescent="0.2">
      <c r="A24" s="1">
        <v>39447</v>
      </c>
      <c r="B24">
        <v>2.9755925399809199E-2</v>
      </c>
      <c r="C24">
        <v>-4.0523801383349101E-2</v>
      </c>
      <c r="D24">
        <v>-3.5829835183399397E-2</v>
      </c>
      <c r="E24">
        <v>-3.9874514651160597E-3</v>
      </c>
      <c r="F24">
        <v>5.2292954245912203E-2</v>
      </c>
      <c r="G24">
        <v>-1.2594032855579499E-2</v>
      </c>
      <c r="H24">
        <v>8.6349991708183794E-3</v>
      </c>
      <c r="I24">
        <v>2.3106047669458001E-2</v>
      </c>
      <c r="J24">
        <v>5.2519324351993198E-2</v>
      </c>
      <c r="K24">
        <v>2.5311631154042798E-3</v>
      </c>
      <c r="L24">
        <v>4.9152012059812998E-3</v>
      </c>
      <c r="M24">
        <v>8.9439454973313001E-2</v>
      </c>
      <c r="N24">
        <v>4.5302668485277801E-2</v>
      </c>
      <c r="O24">
        <v>5.0721716815485002E-3</v>
      </c>
      <c r="P24">
        <v>0.12001648328924699</v>
      </c>
      <c r="Q24">
        <v>0.125965116477814</v>
      </c>
      <c r="R24">
        <v>-2.1</v>
      </c>
      <c r="S24">
        <v>-0.86</v>
      </c>
      <c r="T24">
        <v>1.22</v>
      </c>
      <c r="U24">
        <v>0.27</v>
      </c>
      <c r="V24">
        <v>0.68537700000000001</v>
      </c>
      <c r="W24">
        <v>2.87821366383301E-3</v>
      </c>
      <c r="X24">
        <v>-2.1000000000000001E-2</v>
      </c>
      <c r="Y24">
        <v>-8.6E-3</v>
      </c>
      <c r="Z24">
        <v>1.2200000000000001E-2</v>
      </c>
      <c r="AA24">
        <v>2.7000000000000001E-3</v>
      </c>
      <c r="AB24">
        <v>5.58598484072537E-3</v>
      </c>
      <c r="AC24">
        <v>-1.54744576462152E-2</v>
      </c>
      <c r="AD24">
        <v>-2.1060442486940601E-2</v>
      </c>
      <c r="AE24">
        <v>-8.62475263750896E-3</v>
      </c>
      <c r="AF24">
        <v>1.22351142066988E-2</v>
      </c>
    </row>
    <row r="25" spans="1:32" x14ac:dyDescent="0.2">
      <c r="A25" s="1">
        <v>39478</v>
      </c>
      <c r="B25">
        <v>3.4810617773249203E-2</v>
      </c>
      <c r="C25">
        <v>-4.6564918865512499E-2</v>
      </c>
      <c r="D25">
        <v>-3.9031683415833102E-2</v>
      </c>
      <c r="E25">
        <v>-1.7351145807013999E-2</v>
      </c>
      <c r="F25">
        <v>5.2227490488274401E-2</v>
      </c>
      <c r="G25">
        <v>-4.7616351429574502E-2</v>
      </c>
      <c r="H25">
        <v>-2.4198429562137101E-2</v>
      </c>
      <c r="I25">
        <v>-8.8748134641039502E-3</v>
      </c>
      <c r="J25">
        <v>6.6329480959092094E-2</v>
      </c>
      <c r="K25">
        <v>-2.495663406095E-2</v>
      </c>
      <c r="L25">
        <v>-2.5362152394529699E-2</v>
      </c>
      <c r="M25">
        <v>4.1286274921380497E-2</v>
      </c>
      <c r="N25">
        <v>4.6124961386125402E-2</v>
      </c>
      <c r="O25">
        <v>-4.1439133359859701E-2</v>
      </c>
      <c r="P25">
        <v>8.5172952387322906E-2</v>
      </c>
      <c r="Q25">
        <v>0.10490480431870999</v>
      </c>
      <c r="R25">
        <v>-10.01</v>
      </c>
      <c r="S25">
        <v>0.38</v>
      </c>
      <c r="T25">
        <v>-0.01</v>
      </c>
      <c r="U25">
        <v>0.21</v>
      </c>
      <c r="V25">
        <v>0.67267600000000005</v>
      </c>
      <c r="W25">
        <v>-1.85314068023875E-2</v>
      </c>
      <c r="X25">
        <v>-0.10009999999999999</v>
      </c>
      <c r="Y25">
        <v>3.8E-3</v>
      </c>
      <c r="Z25">
        <v>-1E-4</v>
      </c>
      <c r="AA25">
        <v>2.0999999999999999E-3</v>
      </c>
      <c r="AB25">
        <v>-1.6470322756672599E-2</v>
      </c>
      <c r="AC25">
        <v>-0.11471532893575399</v>
      </c>
      <c r="AD25">
        <v>-9.8245006179080899E-2</v>
      </c>
      <c r="AE25">
        <v>3.7295806541509302E-3</v>
      </c>
      <c r="AF25">
        <v>-9.8146859319761295E-5</v>
      </c>
    </row>
    <row r="26" spans="1:32" x14ac:dyDescent="0.2">
      <c r="A26" s="1">
        <v>39507</v>
      </c>
      <c r="B26">
        <v>-4.9358890601081803E-3</v>
      </c>
      <c r="C26">
        <v>-4.9334311938624503E-2</v>
      </c>
      <c r="D26">
        <v>-2.5622173508453701E-2</v>
      </c>
      <c r="E26">
        <v>-1.6828308970271998E-2</v>
      </c>
      <c r="F26">
        <v>-3.8579628099788703E-2</v>
      </c>
      <c r="G26">
        <v>-0.10825334356520699</v>
      </c>
      <c r="H26">
        <v>-5.6580374079497897E-2</v>
      </c>
      <c r="I26">
        <v>-4.3689112203157E-2</v>
      </c>
      <c r="J26">
        <v>5.5847529319400903E-3</v>
      </c>
      <c r="K26">
        <v>-7.6187705171909495E-2</v>
      </c>
      <c r="L26">
        <v>-5.19694754996817E-2</v>
      </c>
      <c r="M26">
        <v>2.1273694124357301E-2</v>
      </c>
      <c r="N26">
        <v>-7.9517324665153294E-3</v>
      </c>
      <c r="O26">
        <v>-9.0002750044852795E-2</v>
      </c>
      <c r="P26">
        <v>5.6456167597698802E-2</v>
      </c>
      <c r="Q26">
        <v>7.6232908653590295E-2</v>
      </c>
      <c r="R26">
        <v>1.96</v>
      </c>
      <c r="S26">
        <v>2.71</v>
      </c>
      <c r="T26">
        <v>-0.51</v>
      </c>
      <c r="U26">
        <v>0.13</v>
      </c>
      <c r="V26">
        <v>0.65871800000000003</v>
      </c>
      <c r="W26">
        <v>-2.0749959861805702E-2</v>
      </c>
      <c r="X26">
        <v>1.9599999999999999E-2</v>
      </c>
      <c r="Y26">
        <v>2.7099999999999999E-2</v>
      </c>
      <c r="Z26">
        <v>-5.1000000000000004E-3</v>
      </c>
      <c r="AA26">
        <v>1.2999999999999999E-3</v>
      </c>
      <c r="AB26">
        <v>-1.9476934809625999E-2</v>
      </c>
      <c r="AC26">
        <v>-2.8363402291731198E-4</v>
      </c>
      <c r="AD26">
        <v>1.9193300786708702E-2</v>
      </c>
      <c r="AE26">
        <v>2.6537676087745099E-2</v>
      </c>
      <c r="AF26">
        <v>-4.9941752047047896E-3</v>
      </c>
    </row>
    <row r="27" spans="1:32" x14ac:dyDescent="0.2">
      <c r="A27" s="1">
        <v>39538</v>
      </c>
      <c r="B27">
        <v>-0.25939380546598101</v>
      </c>
      <c r="C27">
        <v>-0.13510889846927099</v>
      </c>
      <c r="D27">
        <v>-8.8640321815467701E-2</v>
      </c>
      <c r="E27">
        <v>-5.3084837185036003E-2</v>
      </c>
      <c r="F27">
        <v>-0.31160677564008499</v>
      </c>
      <c r="G27">
        <v>-0.209472678908838</v>
      </c>
      <c r="H27">
        <v>-0.131062467267306</v>
      </c>
      <c r="I27">
        <v>-7.5239740752583703E-2</v>
      </c>
      <c r="J27">
        <v>-0.27400149053258699</v>
      </c>
      <c r="K27">
        <v>-0.171678628403516</v>
      </c>
      <c r="L27">
        <v>-0.105520994718387</v>
      </c>
      <c r="M27">
        <v>-1.3136794777641901E-2</v>
      </c>
      <c r="N27">
        <v>-0.26911200011457898</v>
      </c>
      <c r="O27">
        <v>-0.173702438886644</v>
      </c>
      <c r="P27">
        <v>-1.46870285594696E-2</v>
      </c>
      <c r="Q27">
        <v>4.3561139162736899E-2</v>
      </c>
      <c r="R27">
        <v>0.26</v>
      </c>
      <c r="S27">
        <v>-0.56999999999999995</v>
      </c>
      <c r="T27">
        <v>2.37</v>
      </c>
      <c r="U27">
        <v>0.17</v>
      </c>
      <c r="V27">
        <v>0.63397499999999996</v>
      </c>
      <c r="W27">
        <v>-3.7562355970233198E-2</v>
      </c>
      <c r="X27">
        <v>2.5999999999999999E-3</v>
      </c>
      <c r="Y27">
        <v>-5.7000000000000002E-3</v>
      </c>
      <c r="Z27">
        <v>2.3699999999999999E-2</v>
      </c>
      <c r="AA27">
        <v>1.6999999999999999E-3</v>
      </c>
      <c r="AB27">
        <v>-3.5926211975382497E-2</v>
      </c>
      <c r="AC27">
        <v>-3.34238741009052E-2</v>
      </c>
      <c r="AD27">
        <v>2.5023378744772899E-3</v>
      </c>
      <c r="AE27">
        <v>-5.4858945709696698E-3</v>
      </c>
      <c r="AF27">
        <v>2.28097721635055E-2</v>
      </c>
    </row>
    <row r="28" spans="1:32" x14ac:dyDescent="0.2">
      <c r="A28" s="1">
        <v>39568</v>
      </c>
      <c r="B28">
        <v>-0.430501886707014</v>
      </c>
      <c r="C28">
        <v>-0.213543801083458</v>
      </c>
      <c r="D28">
        <v>-0.14323988402693799</v>
      </c>
      <c r="E28">
        <v>-8.0601376781578998E-2</v>
      </c>
      <c r="F28">
        <v>-0.49318867266581901</v>
      </c>
      <c r="G28">
        <v>-0.29106087006407599</v>
      </c>
      <c r="H28">
        <v>-0.17455906657217399</v>
      </c>
      <c r="I28">
        <v>-9.7315616542772904E-2</v>
      </c>
      <c r="J28">
        <v>-0.45617103243645402</v>
      </c>
      <c r="K28">
        <v>-0.27111012060595202</v>
      </c>
      <c r="L28">
        <v>-0.16522440378311801</v>
      </c>
      <c r="M28">
        <v>-4.7289772979331998E-2</v>
      </c>
      <c r="N28">
        <v>-0.43561864702946002</v>
      </c>
      <c r="O28">
        <v>-0.26481734817776797</v>
      </c>
      <c r="P28">
        <v>-8.2860156479806296E-2</v>
      </c>
      <c r="Q28">
        <v>-4.7619391743980001E-3</v>
      </c>
      <c r="R28">
        <v>4.41</v>
      </c>
      <c r="S28">
        <v>-2.5499999999999998</v>
      </c>
      <c r="T28">
        <v>-0.01</v>
      </c>
      <c r="U28">
        <v>0.18</v>
      </c>
      <c r="V28">
        <v>0.64032800000000001</v>
      </c>
      <c r="W28">
        <v>1.0020899877755601E-2</v>
      </c>
      <c r="X28">
        <v>4.41E-2</v>
      </c>
      <c r="Y28">
        <v>-2.5499999999999998E-2</v>
      </c>
      <c r="Z28">
        <v>-1E-4</v>
      </c>
      <c r="AA28">
        <v>1.8E-3</v>
      </c>
      <c r="AB28">
        <v>1.18389374975356E-2</v>
      </c>
      <c r="AC28">
        <v>5.6380859182144603E-2</v>
      </c>
      <c r="AD28">
        <v>4.4541921684609E-2</v>
      </c>
      <c r="AE28">
        <v>-2.5755532946882799E-2</v>
      </c>
      <c r="AF28">
        <v>-1.01002089987776E-4</v>
      </c>
    </row>
    <row r="29" spans="1:32" x14ac:dyDescent="0.2">
      <c r="A29" s="1">
        <v>39599</v>
      </c>
      <c r="B29">
        <v>-0.39199842889375802</v>
      </c>
      <c r="C29">
        <v>-0.264193691104674</v>
      </c>
      <c r="D29">
        <v>-0.16013701010582601</v>
      </c>
      <c r="E29">
        <v>-0.10718574906338001</v>
      </c>
      <c r="F29">
        <v>-0.40967887834155398</v>
      </c>
      <c r="G29">
        <v>-0.30397500914724002</v>
      </c>
      <c r="H29">
        <v>-0.17512099558237801</v>
      </c>
      <c r="I29">
        <v>-0.11981922686742801</v>
      </c>
      <c r="J29">
        <v>-0.37644499867817399</v>
      </c>
      <c r="K29">
        <v>-0.28900053078055399</v>
      </c>
      <c r="L29">
        <v>-0.18900308954828099</v>
      </c>
      <c r="M29">
        <v>-7.6787912776507095E-2</v>
      </c>
      <c r="N29">
        <v>-0.35467650170235998</v>
      </c>
      <c r="O29">
        <v>-0.27787613834331198</v>
      </c>
      <c r="P29">
        <v>-9.8009744411554606E-2</v>
      </c>
      <c r="Q29">
        <v>-4.13651789196526E-2</v>
      </c>
      <c r="R29">
        <v>0.85</v>
      </c>
      <c r="S29">
        <v>0.48</v>
      </c>
      <c r="T29">
        <v>-1.17</v>
      </c>
      <c r="U29">
        <v>0.18</v>
      </c>
      <c r="V29">
        <v>0.64294200000000001</v>
      </c>
      <c r="W29">
        <v>4.08228283004952E-3</v>
      </c>
      <c r="X29">
        <v>8.5000000000000006E-3</v>
      </c>
      <c r="Y29">
        <v>4.7999999999999996E-3</v>
      </c>
      <c r="Z29">
        <v>-1.17E-2</v>
      </c>
      <c r="AA29">
        <v>1.8E-3</v>
      </c>
      <c r="AB29">
        <v>5.8896309391436299E-3</v>
      </c>
      <c r="AC29">
        <v>1.4424330343199E-2</v>
      </c>
      <c r="AD29">
        <v>8.5346994040553792E-3</v>
      </c>
      <c r="AE29">
        <v>4.8195949575842402E-3</v>
      </c>
      <c r="AF29">
        <v>-1.1747762709111599E-2</v>
      </c>
    </row>
    <row r="30" spans="1:32" x14ac:dyDescent="0.2">
      <c r="A30" s="1">
        <v>39629</v>
      </c>
      <c r="B30">
        <v>-0.160234894774339</v>
      </c>
      <c r="C30">
        <v>-0.21812624806005601</v>
      </c>
      <c r="D30">
        <v>-0.15008448834524399</v>
      </c>
      <c r="E30">
        <v>-0.114456152123023</v>
      </c>
      <c r="F30">
        <v>-0.17126054177967601</v>
      </c>
      <c r="G30">
        <v>-0.25860353141815501</v>
      </c>
      <c r="H30">
        <v>-0.165993886645878</v>
      </c>
      <c r="I30">
        <v>-0.12380481514080199</v>
      </c>
      <c r="J30">
        <v>-0.15140790566683099</v>
      </c>
      <c r="K30">
        <v>-0.24436019570277501</v>
      </c>
      <c r="L30">
        <v>-0.180618213819497</v>
      </c>
      <c r="M30">
        <v>-0.11066419932638601</v>
      </c>
      <c r="N30">
        <v>-0.116552758617254</v>
      </c>
      <c r="O30">
        <v>-0.21310342152823</v>
      </c>
      <c r="P30">
        <v>-0.12900404903161899</v>
      </c>
      <c r="Q30">
        <v>-8.04740100709425E-2</v>
      </c>
      <c r="R30">
        <v>-8.68</v>
      </c>
      <c r="S30">
        <v>1.68</v>
      </c>
      <c r="T30">
        <v>-0.7</v>
      </c>
      <c r="U30">
        <v>0.17</v>
      </c>
      <c r="V30">
        <v>0.63467899999999999</v>
      </c>
      <c r="W30">
        <v>-1.28518591101531E-2</v>
      </c>
      <c r="X30">
        <v>-8.6800000000000002E-2</v>
      </c>
      <c r="Y30">
        <v>1.6799999999999999E-2</v>
      </c>
      <c r="Z30">
        <v>-7.0000000000000001E-3</v>
      </c>
      <c r="AA30">
        <v>1.6999999999999999E-3</v>
      </c>
      <c r="AB30">
        <v>-1.11737072706403E-2</v>
      </c>
      <c r="AC30">
        <v>-9.6858165899879001E-2</v>
      </c>
      <c r="AD30">
        <v>-8.5684458629238805E-2</v>
      </c>
      <c r="AE30">
        <v>1.65840887669494E-2</v>
      </c>
      <c r="AF30">
        <v>-6.9100369862289297E-3</v>
      </c>
    </row>
    <row r="31" spans="1:32" x14ac:dyDescent="0.2">
      <c r="A31" s="1">
        <v>39660</v>
      </c>
      <c r="B31">
        <v>-8.9630491522230696E-2</v>
      </c>
      <c r="C31">
        <v>-0.27325975421896098</v>
      </c>
      <c r="D31">
        <v>-0.154946632571377</v>
      </c>
      <c r="E31">
        <v>-0.132060861685696</v>
      </c>
      <c r="F31">
        <v>-9.1589538962118397E-2</v>
      </c>
      <c r="G31">
        <v>-0.27284809722014902</v>
      </c>
      <c r="H31">
        <v>-0.18491204037398701</v>
      </c>
      <c r="I31">
        <v>-0.148119300882047</v>
      </c>
      <c r="J31">
        <v>-7.6186919384389498E-2</v>
      </c>
      <c r="K31">
        <v>-0.24658522059502999</v>
      </c>
      <c r="L31">
        <v>-0.188691319369993</v>
      </c>
      <c r="M31">
        <v>-0.150343336370897</v>
      </c>
      <c r="N31">
        <v>-6.2225469958457902E-2</v>
      </c>
      <c r="O31">
        <v>-0.23248360783052999</v>
      </c>
      <c r="P31">
        <v>-0.177829956607644</v>
      </c>
      <c r="Q31">
        <v>-0.12724523077095301</v>
      </c>
      <c r="R31">
        <v>-3.83</v>
      </c>
      <c r="S31">
        <v>-2.16</v>
      </c>
      <c r="T31">
        <v>0.95</v>
      </c>
      <c r="U31">
        <v>0.15</v>
      </c>
      <c r="V31">
        <v>0.64098500000000003</v>
      </c>
      <c r="W31">
        <v>9.9357312909360597E-3</v>
      </c>
      <c r="X31">
        <v>-3.8300000000000001E-2</v>
      </c>
      <c r="Y31">
        <v>-2.1600000000000001E-2</v>
      </c>
      <c r="Z31">
        <v>9.4999999999999998E-3</v>
      </c>
      <c r="AA31">
        <v>1.5E-3</v>
      </c>
      <c r="AB31">
        <v>1.1450634887872501E-2</v>
      </c>
      <c r="AC31">
        <v>-2.72299036205703E-2</v>
      </c>
      <c r="AD31">
        <v>-3.8680538508442802E-2</v>
      </c>
      <c r="AE31">
        <v>-2.18146117958842E-2</v>
      </c>
      <c r="AF31">
        <v>9.5943894472638892E-3</v>
      </c>
    </row>
    <row r="32" spans="1:32" x14ac:dyDescent="0.2">
      <c r="A32" s="1">
        <v>39691</v>
      </c>
      <c r="B32">
        <v>-0.105482251206738</v>
      </c>
      <c r="C32">
        <v>-0.25585755200303001</v>
      </c>
      <c r="D32">
        <v>-0.161976527960489</v>
      </c>
      <c r="E32">
        <v>-0.145999782098759</v>
      </c>
      <c r="F32">
        <v>-0.173339790273904</v>
      </c>
      <c r="G32">
        <v>-0.23226889288705099</v>
      </c>
      <c r="H32">
        <v>-0.20937001314725501</v>
      </c>
      <c r="I32">
        <v>-0.18645891775582801</v>
      </c>
      <c r="J32">
        <v>-0.111245231173737</v>
      </c>
      <c r="K32">
        <v>-0.196680414748479</v>
      </c>
      <c r="L32">
        <v>-0.19653933723933101</v>
      </c>
      <c r="M32">
        <v>-0.19100615878114</v>
      </c>
      <c r="N32">
        <v>-0.13705894968767701</v>
      </c>
      <c r="O32">
        <v>-0.20027077120280901</v>
      </c>
      <c r="P32">
        <v>-0.19520306000462001</v>
      </c>
      <c r="Q32">
        <v>-0.17396065031427599</v>
      </c>
      <c r="R32">
        <v>-4.57</v>
      </c>
      <c r="S32">
        <v>0.11</v>
      </c>
      <c r="T32">
        <v>-0.09</v>
      </c>
      <c r="U32">
        <v>0.13</v>
      </c>
      <c r="V32">
        <v>0.681477</v>
      </c>
      <c r="W32">
        <v>6.3171525074689594E-2</v>
      </c>
      <c r="X32">
        <v>-4.5699999999999998E-2</v>
      </c>
      <c r="Y32">
        <v>1.1000000000000001E-3</v>
      </c>
      <c r="Z32">
        <v>-8.9999999999999998E-4</v>
      </c>
      <c r="AA32">
        <v>1.2999999999999999E-3</v>
      </c>
      <c r="AB32">
        <v>6.4553648057286805E-2</v>
      </c>
      <c r="AC32">
        <v>1.59667093613736E-2</v>
      </c>
      <c r="AD32">
        <v>-4.8586938695913198E-2</v>
      </c>
      <c r="AE32">
        <v>1.1694886775821601E-3</v>
      </c>
      <c r="AF32">
        <v>-9.5685437256722104E-4</v>
      </c>
    </row>
    <row r="33" spans="1:32" x14ac:dyDescent="0.2">
      <c r="A33" s="1">
        <v>39721</v>
      </c>
      <c r="B33">
        <v>-3.9614285076436599E-2</v>
      </c>
      <c r="C33">
        <v>-0.15017734824299001</v>
      </c>
      <c r="D33">
        <v>-0.13878759422141401</v>
      </c>
      <c r="E33">
        <v>-0.14916602350951</v>
      </c>
      <c r="F33">
        <v>-0.13722314473349301</v>
      </c>
      <c r="G33">
        <v>-0.13680273992577299</v>
      </c>
      <c r="H33">
        <v>-0.19848299814494899</v>
      </c>
      <c r="I33">
        <v>-0.20531436249985699</v>
      </c>
      <c r="J33">
        <v>-8.10294116964526E-2</v>
      </c>
      <c r="K33">
        <v>-0.12163661494789001</v>
      </c>
      <c r="L33">
        <v>-0.192371926159182</v>
      </c>
      <c r="M33">
        <v>-0.21268865372398599</v>
      </c>
      <c r="N33">
        <v>-0.108160421411909</v>
      </c>
      <c r="O33">
        <v>-0.129384608685786</v>
      </c>
      <c r="P33">
        <v>-0.19620700533613</v>
      </c>
      <c r="Q33">
        <v>-0.21827918106083999</v>
      </c>
      <c r="R33">
        <v>-15.07</v>
      </c>
      <c r="S33">
        <v>-3.1</v>
      </c>
      <c r="T33">
        <v>0.91</v>
      </c>
      <c r="U33">
        <v>0.15</v>
      </c>
      <c r="V33">
        <v>0.70901899999999995</v>
      </c>
      <c r="W33">
        <v>4.0415157077934999E-2</v>
      </c>
      <c r="X33">
        <v>-0.1507</v>
      </c>
      <c r="Y33">
        <v>-3.1E-2</v>
      </c>
      <c r="Z33">
        <v>9.1000000000000004E-3</v>
      </c>
      <c r="AA33">
        <v>1.5E-3</v>
      </c>
      <c r="AB33">
        <v>4.19757798135518E-2</v>
      </c>
      <c r="AC33">
        <v>-0.114814784358093</v>
      </c>
      <c r="AD33">
        <v>-0.156790564171645</v>
      </c>
      <c r="AE33">
        <v>-3.2252869869416001E-2</v>
      </c>
      <c r="AF33">
        <v>9.4677779294092095E-3</v>
      </c>
    </row>
    <row r="34" spans="1:32" x14ac:dyDescent="0.2">
      <c r="A34" s="1">
        <v>39752</v>
      </c>
      <c r="B34">
        <v>0.123925829226755</v>
      </c>
      <c r="C34">
        <v>-6.6903095652853503E-2</v>
      </c>
      <c r="D34">
        <v>-0.13985827091286801</v>
      </c>
      <c r="E34">
        <v>-0.12858238147790799</v>
      </c>
      <c r="F34">
        <v>2.4160723699963801E-2</v>
      </c>
      <c r="G34">
        <v>-5.2800031275887803E-2</v>
      </c>
      <c r="H34">
        <v>-0.17622807939284199</v>
      </c>
      <c r="I34">
        <v>-0.209086573606693</v>
      </c>
      <c r="J34">
        <v>6.20060326233891E-2</v>
      </c>
      <c r="K34">
        <v>-3.0054734880575001E-2</v>
      </c>
      <c r="L34">
        <v>-0.17627285129929801</v>
      </c>
      <c r="M34">
        <v>-0.21888790053746601</v>
      </c>
      <c r="N34">
        <v>7.7176794264737905E-2</v>
      </c>
      <c r="O34">
        <v>-4.3329854680695397E-2</v>
      </c>
      <c r="P34">
        <v>-0.19155698200701801</v>
      </c>
      <c r="Q34">
        <v>-0.23086104334340499</v>
      </c>
      <c r="R34">
        <v>-22.02</v>
      </c>
      <c r="S34">
        <v>-4.91</v>
      </c>
      <c r="T34">
        <v>-3.53</v>
      </c>
      <c r="U34">
        <v>0.08</v>
      </c>
      <c r="V34">
        <v>0.78536099999999998</v>
      </c>
      <c r="W34">
        <v>0.107672713989329</v>
      </c>
      <c r="X34">
        <v>-0.22020000000000001</v>
      </c>
      <c r="Y34">
        <v>-4.9099999999999998E-2</v>
      </c>
      <c r="Z34">
        <v>-3.5299999999999998E-2</v>
      </c>
      <c r="AA34">
        <v>8.0000000000000004E-4</v>
      </c>
      <c r="AB34">
        <v>0.10855885216052</v>
      </c>
      <c r="AC34">
        <v>-0.13535067945993001</v>
      </c>
      <c r="AD34">
        <v>-0.24390953162045001</v>
      </c>
      <c r="AE34">
        <v>-5.4386730256876098E-2</v>
      </c>
      <c r="AF34">
        <v>-3.9100846803823301E-2</v>
      </c>
    </row>
    <row r="35" spans="1:32" x14ac:dyDescent="0.2">
      <c r="A35" s="1">
        <v>39782</v>
      </c>
      <c r="B35">
        <v>0.136637997075579</v>
      </c>
      <c r="C35">
        <v>-4.7700932899373799E-2</v>
      </c>
      <c r="D35">
        <v>-0.18226955872134601</v>
      </c>
      <c r="E35">
        <v>-0.14743159657334201</v>
      </c>
      <c r="F35">
        <v>0.10652066062997299</v>
      </c>
      <c r="G35">
        <v>-0.10428618797983701</v>
      </c>
      <c r="H35">
        <v>-0.208338821037299</v>
      </c>
      <c r="I35">
        <v>-0.26372484004961799</v>
      </c>
      <c r="J35">
        <v>0.104441162218356</v>
      </c>
      <c r="K35">
        <v>-6.2581599478734207E-2</v>
      </c>
      <c r="L35">
        <v>-0.22489690326927</v>
      </c>
      <c r="M35">
        <v>-0.27410367175897199</v>
      </c>
      <c r="N35">
        <v>0.14859548419510399</v>
      </c>
      <c r="O35">
        <v>-9.4550443940647405E-2</v>
      </c>
      <c r="P35">
        <v>-0.26108352763664699</v>
      </c>
      <c r="Q35">
        <v>-0.301581373608514</v>
      </c>
      <c r="R35">
        <v>-7.18</v>
      </c>
      <c r="S35">
        <v>-0.99</v>
      </c>
      <c r="T35">
        <v>-3.63</v>
      </c>
      <c r="U35">
        <v>0.03</v>
      </c>
      <c r="V35">
        <v>0.78755699999999995</v>
      </c>
      <c r="W35">
        <v>2.7961663489783901E-3</v>
      </c>
      <c r="X35">
        <v>-7.1800000000000003E-2</v>
      </c>
      <c r="Y35">
        <v>-9.9000000000000008E-3</v>
      </c>
      <c r="Z35">
        <v>-3.6299999999999999E-2</v>
      </c>
      <c r="AA35">
        <v>2.9999999999999997E-4</v>
      </c>
      <c r="AB35">
        <v>3.0970051988830098E-3</v>
      </c>
      <c r="AC35">
        <v>-6.8903759544973506E-2</v>
      </c>
      <c r="AD35">
        <v>-7.2000764743856499E-2</v>
      </c>
      <c r="AE35">
        <v>-9.9276820468548795E-3</v>
      </c>
      <c r="AF35">
        <v>-3.6401500838467903E-2</v>
      </c>
    </row>
    <row r="36" spans="1:32" x14ac:dyDescent="0.2">
      <c r="A36" s="1">
        <v>39813</v>
      </c>
      <c r="B36">
        <v>4.2728958179361003E-2</v>
      </c>
      <c r="C36">
        <v>-0.116584663528826</v>
      </c>
      <c r="D36">
        <v>-0.205844142286461</v>
      </c>
      <c r="E36">
        <v>-0.20621096626786101</v>
      </c>
      <c r="F36">
        <v>3.5798032770861299E-2</v>
      </c>
      <c r="G36">
        <v>-0.203564001398647</v>
      </c>
      <c r="H36">
        <v>-0.24682115738709801</v>
      </c>
      <c r="I36">
        <v>-0.34460339353210001</v>
      </c>
      <c r="J36">
        <v>8.8090559264963494E-2</v>
      </c>
      <c r="K36">
        <v>-0.15692442475705801</v>
      </c>
      <c r="L36">
        <v>-0.28631994156778801</v>
      </c>
      <c r="M36">
        <v>-0.36355405576619398</v>
      </c>
      <c r="N36">
        <v>0.109473374044833</v>
      </c>
      <c r="O36">
        <v>-0.214377343081949</v>
      </c>
      <c r="P36">
        <v>-0.33309416127566899</v>
      </c>
      <c r="Q36">
        <v>-0.39337820214430502</v>
      </c>
      <c r="R36">
        <v>6.7</v>
      </c>
      <c r="S36">
        <v>-1.47</v>
      </c>
      <c r="T36">
        <v>1.21</v>
      </c>
      <c r="U36">
        <v>0</v>
      </c>
      <c r="V36">
        <v>0.71530800000000005</v>
      </c>
      <c r="W36">
        <v>-9.1738121812135406E-2</v>
      </c>
      <c r="X36">
        <v>6.7000000000000004E-2</v>
      </c>
      <c r="Y36">
        <v>-1.47E-2</v>
      </c>
      <c r="Z36">
        <v>1.21E-2</v>
      </c>
      <c r="AA36">
        <v>0</v>
      </c>
      <c r="AB36">
        <v>-9.1738121812135406E-2</v>
      </c>
      <c r="AC36">
        <v>-3.0884575973548399E-2</v>
      </c>
      <c r="AD36">
        <v>6.0853545838586903E-2</v>
      </c>
      <c r="AE36">
        <v>-1.3351449609361601E-2</v>
      </c>
      <c r="AF36">
        <v>1.0989968726073201E-2</v>
      </c>
    </row>
    <row r="37" spans="1:32" x14ac:dyDescent="0.2">
      <c r="A37" s="1">
        <v>39844</v>
      </c>
      <c r="B37">
        <v>-9.1988395533079304E-2</v>
      </c>
      <c r="C37">
        <v>-0.19358810461416001</v>
      </c>
      <c r="D37">
        <v>-0.29058096561477997</v>
      </c>
      <c r="E37">
        <v>-0.316459734760966</v>
      </c>
      <c r="F37">
        <v>-0.127680858788987</v>
      </c>
      <c r="G37">
        <v>-0.292984892807723</v>
      </c>
      <c r="H37">
        <v>-0.353741883368138</v>
      </c>
      <c r="I37">
        <v>-0.46393755870036502</v>
      </c>
      <c r="J37">
        <v>-4.95364726434942E-2</v>
      </c>
      <c r="K37">
        <v>-0.28013148652065301</v>
      </c>
      <c r="L37">
        <v>-0.39323753464954903</v>
      </c>
      <c r="M37">
        <v>-0.49900830104584198</v>
      </c>
      <c r="N37">
        <v>-7.0950776201076302E-2</v>
      </c>
      <c r="O37">
        <v>-0.32078731262362098</v>
      </c>
      <c r="P37">
        <v>-0.44145052672128099</v>
      </c>
      <c r="Q37">
        <v>-0.520603022255679</v>
      </c>
      <c r="R37">
        <v>-10.99</v>
      </c>
      <c r="S37">
        <v>4.92</v>
      </c>
      <c r="T37">
        <v>-4.05</v>
      </c>
      <c r="U37">
        <v>0</v>
      </c>
      <c r="V37">
        <v>0.78232000000000002</v>
      </c>
      <c r="W37">
        <v>9.3682721289290796E-2</v>
      </c>
      <c r="X37">
        <v>-0.1099</v>
      </c>
      <c r="Y37">
        <v>4.9200000000000001E-2</v>
      </c>
      <c r="Z37">
        <v>-4.0500000000000001E-2</v>
      </c>
      <c r="AA37">
        <v>0</v>
      </c>
      <c r="AB37">
        <v>9.3682721289290796E-2</v>
      </c>
      <c r="AC37">
        <v>-2.6513009780402299E-2</v>
      </c>
      <c r="AD37">
        <v>-0.120195731069693</v>
      </c>
      <c r="AE37">
        <v>5.38091898874331E-2</v>
      </c>
      <c r="AF37">
        <v>-4.4294150212216298E-2</v>
      </c>
    </row>
    <row r="38" spans="1:32" x14ac:dyDescent="0.2">
      <c r="A38" s="1">
        <v>39872</v>
      </c>
      <c r="B38">
        <v>-0.208914455427263</v>
      </c>
      <c r="C38">
        <v>-0.294016116325235</v>
      </c>
      <c r="D38">
        <v>-0.358552401953184</v>
      </c>
      <c r="E38">
        <v>-0.413363105158227</v>
      </c>
      <c r="F38">
        <v>-0.266924722782654</v>
      </c>
      <c r="G38">
        <v>-0.37314038891054102</v>
      </c>
      <c r="H38">
        <v>-0.46968202922378899</v>
      </c>
      <c r="I38">
        <v>-0.56153177040244995</v>
      </c>
      <c r="J38">
        <v>-0.27294227998491499</v>
      </c>
      <c r="K38">
        <v>-0.43462116987854099</v>
      </c>
      <c r="L38">
        <v>-0.52727826812315004</v>
      </c>
      <c r="M38">
        <v>-0.62758559336695596</v>
      </c>
      <c r="N38">
        <v>-0.30278616653944501</v>
      </c>
      <c r="O38">
        <v>-0.47925083974543597</v>
      </c>
      <c r="P38">
        <v>-0.59092129519380998</v>
      </c>
      <c r="Q38">
        <v>-0.65827078581072795</v>
      </c>
      <c r="R38">
        <v>-9.9600000000000009</v>
      </c>
      <c r="S38">
        <v>4.55</v>
      </c>
      <c r="T38">
        <v>-4.2300000000000004</v>
      </c>
      <c r="U38">
        <v>0.01</v>
      </c>
      <c r="V38">
        <v>0.78932800000000003</v>
      </c>
      <c r="W38">
        <v>8.9579711626956993E-3</v>
      </c>
      <c r="X38">
        <v>-9.9599999999999994E-2</v>
      </c>
      <c r="Y38">
        <v>4.5499999999999999E-2</v>
      </c>
      <c r="Z38">
        <v>-4.2299999999999997E-2</v>
      </c>
      <c r="AA38">
        <v>1E-4</v>
      </c>
      <c r="AB38">
        <v>9.0588669598119492E-3</v>
      </c>
      <c r="AC38">
        <v>-9.1433346967992504E-2</v>
      </c>
      <c r="AD38">
        <v>-0.100492213927804</v>
      </c>
      <c r="AE38">
        <v>4.59075876879027E-2</v>
      </c>
      <c r="AF38">
        <v>-4.2678922180182002E-2</v>
      </c>
    </row>
    <row r="39" spans="1:32" x14ac:dyDescent="0.2">
      <c r="A39" s="1">
        <v>39903</v>
      </c>
      <c r="B39">
        <v>-0.35433152240746602</v>
      </c>
      <c r="C39">
        <v>-0.44280162938915801</v>
      </c>
      <c r="D39">
        <v>-0.42531273118059598</v>
      </c>
      <c r="E39">
        <v>-0.47217443006312498</v>
      </c>
      <c r="F39">
        <v>-0.482323161351218</v>
      </c>
      <c r="G39">
        <v>-0.56019835997650902</v>
      </c>
      <c r="H39">
        <v>-0.61012170799166199</v>
      </c>
      <c r="I39">
        <v>-0.68649102775905502</v>
      </c>
      <c r="J39">
        <v>-0.54091464723341898</v>
      </c>
      <c r="K39">
        <v>-0.60585335202343105</v>
      </c>
      <c r="L39">
        <v>-0.65503075471220895</v>
      </c>
      <c r="M39">
        <v>-0.75018951239322995</v>
      </c>
      <c r="N39">
        <v>-0.61145928261368199</v>
      </c>
      <c r="O39">
        <v>-0.69727467192345705</v>
      </c>
      <c r="P39">
        <v>-0.75854571122286896</v>
      </c>
      <c r="Q39">
        <v>-0.779366460956608</v>
      </c>
      <c r="R39">
        <v>6.94</v>
      </c>
      <c r="S39">
        <v>-2.54</v>
      </c>
      <c r="T39">
        <v>1.46</v>
      </c>
      <c r="U39">
        <v>0.02</v>
      </c>
      <c r="V39">
        <v>0.75466</v>
      </c>
      <c r="W39">
        <v>-4.3920904870978897E-2</v>
      </c>
      <c r="X39">
        <v>6.9400000000000003E-2</v>
      </c>
      <c r="Y39">
        <v>-2.5399999999999999E-2</v>
      </c>
      <c r="Z39">
        <v>1.46E-2</v>
      </c>
      <c r="AA39">
        <v>2.0000000000000001E-4</v>
      </c>
      <c r="AB39">
        <v>-4.3729689051953097E-2</v>
      </c>
      <c r="AC39">
        <v>2.2622200150000899E-2</v>
      </c>
      <c r="AD39">
        <v>6.6351889201954006E-2</v>
      </c>
      <c r="AE39">
        <v>-2.4284409016277101E-2</v>
      </c>
      <c r="AF39">
        <v>1.39587547888837E-2</v>
      </c>
    </row>
    <row r="40" spans="1:32" x14ac:dyDescent="0.2">
      <c r="A40" s="1">
        <v>39933</v>
      </c>
      <c r="B40">
        <v>-0.29730757844371403</v>
      </c>
      <c r="C40">
        <v>-0.48468406200740599</v>
      </c>
      <c r="D40">
        <v>-0.42291229710720102</v>
      </c>
      <c r="E40">
        <v>-0.45307145354416301</v>
      </c>
      <c r="F40">
        <v>-0.54237374584253994</v>
      </c>
      <c r="G40">
        <v>-0.72439004920215699</v>
      </c>
      <c r="H40">
        <v>-0.70789490455747694</v>
      </c>
      <c r="I40">
        <v>-0.76253735523872102</v>
      </c>
      <c r="J40">
        <v>-0.59442134982722294</v>
      </c>
      <c r="K40">
        <v>-0.73316717892047301</v>
      </c>
      <c r="L40">
        <v>-0.76407393153949899</v>
      </c>
      <c r="M40">
        <v>-0.82058653104867096</v>
      </c>
      <c r="N40">
        <v>-0.67024781459543303</v>
      </c>
      <c r="O40">
        <v>-0.84712324131420502</v>
      </c>
      <c r="P40">
        <v>-0.85782384753374297</v>
      </c>
      <c r="Q40">
        <v>-0.84754972094713499</v>
      </c>
      <c r="R40">
        <v>13.67</v>
      </c>
      <c r="S40">
        <v>1.81</v>
      </c>
      <c r="T40">
        <v>6.66</v>
      </c>
      <c r="U40">
        <v>0.01</v>
      </c>
      <c r="V40">
        <v>0.75605800000000001</v>
      </c>
      <c r="W40">
        <v>1.85248986298459E-3</v>
      </c>
      <c r="X40">
        <v>0.13669999999999999</v>
      </c>
      <c r="Y40">
        <v>1.8100000000000002E-2</v>
      </c>
      <c r="Z40">
        <v>6.6600000000000006E-2</v>
      </c>
      <c r="AA40">
        <v>1E-4</v>
      </c>
      <c r="AB40">
        <v>1.9526751119709499E-3</v>
      </c>
      <c r="AC40">
        <v>0.13890591047624101</v>
      </c>
      <c r="AD40">
        <v>0.13695323536427001</v>
      </c>
      <c r="AE40">
        <v>1.813353006652E-2</v>
      </c>
      <c r="AF40">
        <v>6.6723375824874795E-2</v>
      </c>
    </row>
    <row r="41" spans="1:32" x14ac:dyDescent="0.2">
      <c r="A41" s="1">
        <v>39964</v>
      </c>
      <c r="B41">
        <v>-0.15225884489938901</v>
      </c>
      <c r="C41">
        <v>-0.40699832211331699</v>
      </c>
      <c r="D41">
        <v>-0.37259251962662598</v>
      </c>
      <c r="E41">
        <v>-0.38930214815262199</v>
      </c>
      <c r="F41">
        <v>-0.43642566279822498</v>
      </c>
      <c r="G41">
        <v>-0.68537017782855902</v>
      </c>
      <c r="H41">
        <v>-0.70335978620631601</v>
      </c>
      <c r="I41">
        <v>-0.76904765093698102</v>
      </c>
      <c r="J41">
        <v>-0.41939620868099597</v>
      </c>
      <c r="K41">
        <v>-0.71845261515621095</v>
      </c>
      <c r="L41">
        <v>-0.80676004059164297</v>
      </c>
      <c r="M41">
        <v>-0.86373925667570195</v>
      </c>
      <c r="N41">
        <v>-0.51622894233564898</v>
      </c>
      <c r="O41">
        <v>-0.83194443851256505</v>
      </c>
      <c r="P41">
        <v>-0.89097028947977097</v>
      </c>
      <c r="Q41">
        <v>-0.89258383059379998</v>
      </c>
      <c r="R41">
        <v>12.86</v>
      </c>
      <c r="S41">
        <v>1.27</v>
      </c>
      <c r="T41">
        <v>-1.24</v>
      </c>
      <c r="U41">
        <v>0</v>
      </c>
      <c r="V41">
        <v>0.70651399999999998</v>
      </c>
      <c r="W41">
        <v>-6.5529364149311306E-2</v>
      </c>
      <c r="X41">
        <v>0.12859999999999999</v>
      </c>
      <c r="Y41">
        <v>1.2699999999999999E-2</v>
      </c>
      <c r="Z41">
        <v>-1.24E-2</v>
      </c>
      <c r="AA41">
        <v>0</v>
      </c>
      <c r="AB41">
        <v>-6.5529364149311306E-2</v>
      </c>
      <c r="AC41">
        <v>5.4643559621087197E-2</v>
      </c>
      <c r="AD41">
        <v>0.120172923770399</v>
      </c>
      <c r="AE41">
        <v>1.18677770753037E-2</v>
      </c>
      <c r="AF41">
        <v>-1.1587435884548501E-2</v>
      </c>
    </row>
    <row r="42" spans="1:32" x14ac:dyDescent="0.2">
      <c r="A42" s="1">
        <v>39994</v>
      </c>
      <c r="B42">
        <v>0.11758174156989901</v>
      </c>
      <c r="C42">
        <v>-0.263731995634998</v>
      </c>
      <c r="D42">
        <v>-0.340699480603944</v>
      </c>
      <c r="E42">
        <v>-0.35635350255829101</v>
      </c>
      <c r="F42">
        <v>-0.17480396142735</v>
      </c>
      <c r="G42">
        <v>-0.54898395979604098</v>
      </c>
      <c r="H42">
        <v>-0.69848264125494897</v>
      </c>
      <c r="I42">
        <v>-0.75292774623190695</v>
      </c>
      <c r="J42">
        <v>-0.15562366409987</v>
      </c>
      <c r="K42">
        <v>-0.64539193713194098</v>
      </c>
      <c r="L42">
        <v>-0.83831781125201299</v>
      </c>
      <c r="M42">
        <v>-0.86325639108954799</v>
      </c>
      <c r="N42">
        <v>-0.205461024905884</v>
      </c>
      <c r="O42">
        <v>-0.73495604422930705</v>
      </c>
      <c r="P42">
        <v>-0.90818783415473203</v>
      </c>
      <c r="Q42">
        <v>-0.89079170621450299</v>
      </c>
      <c r="R42">
        <v>-1.87</v>
      </c>
      <c r="S42">
        <v>1.56</v>
      </c>
      <c r="T42">
        <v>-1.19</v>
      </c>
      <c r="U42">
        <v>0.01</v>
      </c>
      <c r="V42">
        <v>0.71247899999999997</v>
      </c>
      <c r="W42">
        <v>8.4428617125775797E-3</v>
      </c>
      <c r="X42">
        <v>-1.8700000000000001E-2</v>
      </c>
      <c r="Y42">
        <v>1.5599999999999999E-2</v>
      </c>
      <c r="Z42">
        <v>-1.1900000000000001E-2</v>
      </c>
      <c r="AA42">
        <v>1E-4</v>
      </c>
      <c r="AB42">
        <v>8.5437059987487594E-3</v>
      </c>
      <c r="AC42">
        <v>-1.03141755152765E-2</v>
      </c>
      <c r="AD42">
        <v>-1.8857881514025201E-2</v>
      </c>
      <c r="AE42">
        <v>1.57317086427162E-2</v>
      </c>
      <c r="AF42">
        <v>-1.20004700543797E-2</v>
      </c>
    </row>
    <row r="43" spans="1:32" x14ac:dyDescent="0.2">
      <c r="A43" s="1">
        <v>40025</v>
      </c>
      <c r="B43">
        <v>0.18506824752109399</v>
      </c>
      <c r="C43">
        <v>-9.19751379483848E-2</v>
      </c>
      <c r="D43">
        <v>-0.30070437822927798</v>
      </c>
      <c r="E43">
        <v>-0.32515545852713001</v>
      </c>
      <c r="F43">
        <v>-3.0652021376370599E-2</v>
      </c>
      <c r="G43">
        <v>-0.41756167808990002</v>
      </c>
      <c r="H43">
        <v>-0.68513873895354105</v>
      </c>
      <c r="I43">
        <v>-0.73221024704423299</v>
      </c>
      <c r="J43">
        <v>-8.19341796017658E-2</v>
      </c>
      <c r="K43">
        <v>-0.55315522586305699</v>
      </c>
      <c r="L43">
        <v>-0.85942136467477703</v>
      </c>
      <c r="M43">
        <v>-0.84440290960108699</v>
      </c>
      <c r="N43">
        <v>-0.13154151524347099</v>
      </c>
      <c r="O43">
        <v>-0.682839213981147</v>
      </c>
      <c r="P43">
        <v>-0.95601676926812695</v>
      </c>
      <c r="Q43">
        <v>-0.88368063885527603</v>
      </c>
      <c r="R43">
        <v>10.18</v>
      </c>
      <c r="S43">
        <v>-3.92</v>
      </c>
      <c r="T43">
        <v>3.78</v>
      </c>
      <c r="U43">
        <v>0.01</v>
      </c>
      <c r="V43">
        <v>0.70175399999999999</v>
      </c>
      <c r="W43">
        <v>-1.5053075248533601E-2</v>
      </c>
      <c r="X43">
        <v>0.1018</v>
      </c>
      <c r="Y43">
        <v>-3.9199999999999999E-2</v>
      </c>
      <c r="Z43">
        <v>3.78E-2</v>
      </c>
      <c r="AA43">
        <v>1E-4</v>
      </c>
      <c r="AB43">
        <v>-1.49545805560585E-2</v>
      </c>
      <c r="AC43">
        <v>8.5313016383640902E-2</v>
      </c>
      <c r="AD43">
        <v>0.100267596939699</v>
      </c>
      <c r="AE43">
        <v>-3.8609919450257497E-2</v>
      </c>
      <c r="AF43">
        <v>3.7230993755605402E-2</v>
      </c>
    </row>
    <row r="44" spans="1:32" x14ac:dyDescent="0.2">
      <c r="A44" s="1">
        <v>40056</v>
      </c>
      <c r="B44">
        <v>0.18471292662493399</v>
      </c>
      <c r="C44">
        <v>3.7889239992777698E-2</v>
      </c>
      <c r="D44">
        <v>-0.242056446428314</v>
      </c>
      <c r="E44">
        <v>-0.28451121769140397</v>
      </c>
      <c r="F44">
        <v>3.8181316279837701E-2</v>
      </c>
      <c r="G44">
        <v>-0.28381071015156401</v>
      </c>
      <c r="H44">
        <v>-0.59395033432477695</v>
      </c>
      <c r="I44">
        <v>-0.67729577793374995</v>
      </c>
      <c r="J44">
        <v>-7.6216510377493996E-2</v>
      </c>
      <c r="K44">
        <v>-0.41433966035970698</v>
      </c>
      <c r="L44">
        <v>-0.79050733622716896</v>
      </c>
      <c r="M44">
        <v>-0.81305372168911805</v>
      </c>
      <c r="N44">
        <v>-0.124326507253849</v>
      </c>
      <c r="O44">
        <v>-0.567507822767915</v>
      </c>
      <c r="P44">
        <v>-0.911911209892459</v>
      </c>
      <c r="Q44">
        <v>-0.84856265797788899</v>
      </c>
      <c r="R44">
        <v>5.65</v>
      </c>
      <c r="S44">
        <v>1.85</v>
      </c>
      <c r="T44">
        <v>7.53</v>
      </c>
      <c r="U44">
        <v>0.01</v>
      </c>
      <c r="V44">
        <v>0.69781199999999999</v>
      </c>
      <c r="W44">
        <v>-5.6173530895442499E-3</v>
      </c>
      <c r="X44">
        <v>5.6500000000000002E-2</v>
      </c>
      <c r="Y44">
        <v>1.8499999999999999E-2</v>
      </c>
      <c r="Z44">
        <v>7.5300000000000006E-2</v>
      </c>
      <c r="AA44">
        <v>1E-4</v>
      </c>
      <c r="AB44">
        <v>-5.5179148248532001E-3</v>
      </c>
      <c r="AC44">
        <v>5.0664704725587498E-2</v>
      </c>
      <c r="AD44">
        <v>5.6182619550440703E-2</v>
      </c>
      <c r="AE44">
        <v>1.8396078967843399E-2</v>
      </c>
      <c r="AF44">
        <v>7.4877013312357299E-2</v>
      </c>
    </row>
    <row r="45" spans="1:32" x14ac:dyDescent="0.2">
      <c r="A45" s="1">
        <v>40086</v>
      </c>
      <c r="B45">
        <v>0.124189842537172</v>
      </c>
      <c r="C45">
        <v>0.177667955123673</v>
      </c>
      <c r="D45">
        <v>-0.15342864157306799</v>
      </c>
      <c r="E45">
        <v>-0.26647446357194499</v>
      </c>
      <c r="F45">
        <v>6.4559063441648801E-2</v>
      </c>
      <c r="G45">
        <v>-8.7347605026930203E-2</v>
      </c>
      <c r="H45">
        <v>-0.49045867433410401</v>
      </c>
      <c r="I45">
        <v>-0.65442571515845405</v>
      </c>
      <c r="J45">
        <v>-3.03764167569869E-2</v>
      </c>
      <c r="K45">
        <v>-0.246165668219605</v>
      </c>
      <c r="L45">
        <v>-0.67552399204021696</v>
      </c>
      <c r="M45">
        <v>-0.78588115954323901</v>
      </c>
      <c r="N45">
        <v>-0.13258442607672699</v>
      </c>
      <c r="O45">
        <v>-0.36453425838102699</v>
      </c>
      <c r="P45">
        <v>-0.786720609241227</v>
      </c>
      <c r="Q45">
        <v>-0.80674622151988395</v>
      </c>
      <c r="R45">
        <v>5.43</v>
      </c>
      <c r="S45">
        <v>1.68</v>
      </c>
      <c r="T45">
        <v>1.1299999999999999</v>
      </c>
      <c r="U45">
        <v>0.01</v>
      </c>
      <c r="V45">
        <v>0.68322300000000002</v>
      </c>
      <c r="W45">
        <v>-2.09067771835394E-2</v>
      </c>
      <c r="X45">
        <v>5.4300000000000001E-2</v>
      </c>
      <c r="Y45">
        <v>1.6799999999999999E-2</v>
      </c>
      <c r="Z45">
        <v>1.1299999999999999E-2</v>
      </c>
      <c r="AA45">
        <v>1E-4</v>
      </c>
      <c r="AB45">
        <v>-2.0808867861257799E-2</v>
      </c>
      <c r="AC45">
        <v>3.2355894137675999E-2</v>
      </c>
      <c r="AD45">
        <v>5.3164761998933802E-2</v>
      </c>
      <c r="AE45">
        <v>1.6448766143316501E-2</v>
      </c>
      <c r="AF45">
        <v>1.1063753417826E-2</v>
      </c>
    </row>
    <row r="46" spans="1:32" x14ac:dyDescent="0.2">
      <c r="A46" s="1">
        <v>40117</v>
      </c>
      <c r="B46">
        <v>8.8011030840089099E-2</v>
      </c>
      <c r="C46">
        <v>0.22320311227710399</v>
      </c>
      <c r="D46">
        <v>-2.3243656166707701E-2</v>
      </c>
      <c r="E46">
        <v>-0.26466615479625299</v>
      </c>
      <c r="F46">
        <v>0.10438993006239</v>
      </c>
      <c r="G46">
        <v>8.0391536341753903E-2</v>
      </c>
      <c r="H46">
        <v>-0.35250595580671501</v>
      </c>
      <c r="I46">
        <v>-0.632321252984264</v>
      </c>
      <c r="J46">
        <v>5.5241401845495697E-2</v>
      </c>
      <c r="K46">
        <v>-0.101112928192547</v>
      </c>
      <c r="L46">
        <v>-0.52172797029523299</v>
      </c>
      <c r="M46">
        <v>-0.76409500514687401</v>
      </c>
      <c r="N46">
        <v>-4.9166663438656499E-2</v>
      </c>
      <c r="O46">
        <v>-0.211786406540596</v>
      </c>
      <c r="P46">
        <v>-0.61854719726394802</v>
      </c>
      <c r="Q46">
        <v>-0.77464982942694005</v>
      </c>
      <c r="R46">
        <v>-1.85</v>
      </c>
      <c r="S46">
        <v>1.63</v>
      </c>
      <c r="T46">
        <v>-3.28</v>
      </c>
      <c r="U46">
        <v>0</v>
      </c>
      <c r="V46">
        <v>0.67944000000000004</v>
      </c>
      <c r="W46">
        <v>-5.5369915825432799E-3</v>
      </c>
      <c r="X46">
        <v>-1.8499999999999999E-2</v>
      </c>
      <c r="Y46">
        <v>1.6299999999999999E-2</v>
      </c>
      <c r="Z46">
        <v>-3.2800000000000003E-2</v>
      </c>
      <c r="AA46">
        <v>0</v>
      </c>
      <c r="AB46">
        <v>-5.5369915825432799E-3</v>
      </c>
      <c r="AC46">
        <v>-2.3934557238266201E-2</v>
      </c>
      <c r="AD46">
        <v>-1.8397565655722901E-2</v>
      </c>
      <c r="AE46">
        <v>1.62097470372045E-2</v>
      </c>
      <c r="AF46">
        <v>-3.2618386676092598E-2</v>
      </c>
    </row>
    <row r="47" spans="1:32" x14ac:dyDescent="0.2">
      <c r="A47" s="1">
        <v>40147</v>
      </c>
      <c r="B47">
        <v>7.7854185903193901E-2</v>
      </c>
      <c r="C47">
        <v>0.21306745278227901</v>
      </c>
      <c r="D47">
        <v>8.4480772270607005E-2</v>
      </c>
      <c r="E47">
        <v>-0.21526819405366099</v>
      </c>
      <c r="F47">
        <v>8.2099254537751007E-2</v>
      </c>
      <c r="G47">
        <v>0.11829456879142899</v>
      </c>
      <c r="H47">
        <v>-0.24136397875207899</v>
      </c>
      <c r="I47">
        <v>-0.55583042033541996</v>
      </c>
      <c r="J47">
        <v>7.1995645464276295E-2</v>
      </c>
      <c r="K47">
        <v>-4.8990384062973902E-2</v>
      </c>
      <c r="L47">
        <v>-0.38482989170429899</v>
      </c>
      <c r="M47">
        <v>-0.68356842666966</v>
      </c>
      <c r="N47">
        <v>1.5831461117689901E-2</v>
      </c>
      <c r="O47">
        <v>-0.132359836437867</v>
      </c>
      <c r="P47">
        <v>-0.46116947164981498</v>
      </c>
      <c r="Q47">
        <v>-0.672199999387326</v>
      </c>
      <c r="R47">
        <v>3</v>
      </c>
      <c r="S47">
        <v>-2.04</v>
      </c>
      <c r="T47">
        <v>-1.22</v>
      </c>
      <c r="U47">
        <v>0</v>
      </c>
      <c r="V47">
        <v>0.66626700000000005</v>
      </c>
      <c r="W47">
        <v>-1.9388025432709202E-2</v>
      </c>
      <c r="X47">
        <v>0.03</v>
      </c>
      <c r="Y47">
        <v>-2.0400000000000001E-2</v>
      </c>
      <c r="Z47">
        <v>-1.2200000000000001E-2</v>
      </c>
      <c r="AA47">
        <v>0</v>
      </c>
      <c r="AB47">
        <v>-1.9388025432709202E-2</v>
      </c>
      <c r="AC47">
        <v>1.00303338043095E-2</v>
      </c>
      <c r="AD47">
        <v>2.9418359237018701E-2</v>
      </c>
      <c r="AE47">
        <v>-2.0004484281172699E-2</v>
      </c>
      <c r="AF47">
        <v>-1.19634660897209E-2</v>
      </c>
    </row>
    <row r="48" spans="1:32" x14ac:dyDescent="0.2">
      <c r="A48" s="1">
        <v>40178</v>
      </c>
      <c r="B48">
        <v>0.115662158540175</v>
      </c>
      <c r="C48">
        <v>0.186635424497576</v>
      </c>
      <c r="D48">
        <v>0.169968820163238</v>
      </c>
      <c r="E48">
        <v>-0.120198397045719</v>
      </c>
      <c r="F48">
        <v>0.107507838629088</v>
      </c>
      <c r="G48">
        <v>0.12226449262177599</v>
      </c>
      <c r="H48">
        <v>-7.9520691987994094E-2</v>
      </c>
      <c r="I48">
        <v>-0.43639307192949101</v>
      </c>
      <c r="J48">
        <v>8.3688701578432598E-2</v>
      </c>
      <c r="K48">
        <v>-6.2168358288930197E-3</v>
      </c>
      <c r="L48">
        <v>-0.24526529055704999</v>
      </c>
      <c r="M48">
        <v>-0.55532805525461704</v>
      </c>
      <c r="N48">
        <v>4.0493283627013599E-2</v>
      </c>
      <c r="O48">
        <v>-0.100613156399077</v>
      </c>
      <c r="P48">
        <v>-0.28321046870406003</v>
      </c>
      <c r="Q48">
        <v>-0.54103598400192299</v>
      </c>
      <c r="R48">
        <v>0.94</v>
      </c>
      <c r="S48">
        <v>-1.82</v>
      </c>
      <c r="T48">
        <v>-1.24</v>
      </c>
      <c r="U48">
        <v>0.01</v>
      </c>
      <c r="V48">
        <v>0.69844600000000001</v>
      </c>
      <c r="W48">
        <v>4.8297454323866999E-2</v>
      </c>
      <c r="X48">
        <v>9.4000000000000004E-3</v>
      </c>
      <c r="Y48">
        <v>-1.8200000000000001E-2</v>
      </c>
      <c r="Z48">
        <v>-1.24E-2</v>
      </c>
      <c r="AA48">
        <v>1E-4</v>
      </c>
      <c r="AB48">
        <v>4.84022840692995E-2</v>
      </c>
      <c r="AC48">
        <v>5.82562801399438E-2</v>
      </c>
      <c r="AD48">
        <v>9.8539960706442997E-3</v>
      </c>
      <c r="AE48">
        <v>-1.9079013668694401E-2</v>
      </c>
      <c r="AF48">
        <v>-1.2998888433616001E-2</v>
      </c>
    </row>
    <row r="49" spans="1:32" x14ac:dyDescent="0.2">
      <c r="A49" s="1">
        <v>40209</v>
      </c>
      <c r="B49">
        <v>0.104488417360859</v>
      </c>
      <c r="C49">
        <v>0.136701934782612</v>
      </c>
      <c r="D49">
        <v>0.19467600767101401</v>
      </c>
      <c r="E49">
        <v>-2.63751232610657E-3</v>
      </c>
      <c r="F49">
        <v>8.3186650975282606E-2</v>
      </c>
      <c r="G49">
        <v>0.117533433115859</v>
      </c>
      <c r="H49">
        <v>4.6919531050816497E-2</v>
      </c>
      <c r="I49">
        <v>-0.28258030915105697</v>
      </c>
      <c r="J49">
        <v>6.5647472409635602E-2</v>
      </c>
      <c r="K49">
        <v>4.10886761917581E-2</v>
      </c>
      <c r="L49">
        <v>-0.11159619019842699</v>
      </c>
      <c r="M49">
        <v>-0.38391290162846098</v>
      </c>
      <c r="N49">
        <v>6.4712077395124398E-2</v>
      </c>
      <c r="O49">
        <v>-1.98399682384169E-2</v>
      </c>
      <c r="P49">
        <v>-0.151370536925265</v>
      </c>
      <c r="Q49">
        <v>-0.37548769448528302</v>
      </c>
      <c r="R49">
        <v>-5.28</v>
      </c>
      <c r="S49">
        <v>4.7</v>
      </c>
      <c r="T49">
        <v>-1.87</v>
      </c>
      <c r="U49">
        <v>0</v>
      </c>
      <c r="V49">
        <v>0.72131900000000004</v>
      </c>
      <c r="W49">
        <v>3.2748415768720798E-2</v>
      </c>
      <c r="X49">
        <v>-5.28E-2</v>
      </c>
      <c r="Y49">
        <v>4.7E-2</v>
      </c>
      <c r="Z49">
        <v>-1.8700000000000001E-2</v>
      </c>
      <c r="AA49">
        <v>0</v>
      </c>
      <c r="AB49">
        <v>3.2748415768720798E-2</v>
      </c>
      <c r="AC49">
        <v>-2.17807005838676E-2</v>
      </c>
      <c r="AD49">
        <v>-5.4529116352588398E-2</v>
      </c>
      <c r="AE49">
        <v>4.8539175541129902E-2</v>
      </c>
      <c r="AF49">
        <v>-1.9312395374875099E-2</v>
      </c>
    </row>
    <row r="50" spans="1:32" x14ac:dyDescent="0.2">
      <c r="A50" s="1">
        <v>40237</v>
      </c>
      <c r="B50">
        <v>8.5143154125697104E-2</v>
      </c>
      <c r="C50">
        <v>8.3120659429276003E-2</v>
      </c>
      <c r="D50">
        <v>0.15718610025624699</v>
      </c>
      <c r="E50">
        <v>7.2656881980929303E-2</v>
      </c>
      <c r="F50">
        <v>9.0359035025287998E-2</v>
      </c>
      <c r="G50">
        <v>7.8102154473206203E-2</v>
      </c>
      <c r="H50">
        <v>7.3928243196619503E-2</v>
      </c>
      <c r="I50">
        <v>-0.15487759921274599</v>
      </c>
      <c r="J50">
        <v>6.96271528036881E-2</v>
      </c>
      <c r="K50">
        <v>4.0808008017732003E-2</v>
      </c>
      <c r="L50">
        <v>-4.8085382315387303E-2</v>
      </c>
      <c r="M50">
        <v>-0.239525493972608</v>
      </c>
      <c r="N50">
        <v>6.95535466143333E-2</v>
      </c>
      <c r="O50">
        <v>2.7624613458368499E-2</v>
      </c>
      <c r="P50">
        <v>-7.1111265244935704E-2</v>
      </c>
      <c r="Q50">
        <v>-0.208677962613361</v>
      </c>
      <c r="R50">
        <v>-2.1</v>
      </c>
      <c r="S50">
        <v>-0.71</v>
      </c>
      <c r="T50">
        <v>-1.79</v>
      </c>
      <c r="U50">
        <v>0</v>
      </c>
      <c r="V50">
        <v>0.73386399999999996</v>
      </c>
      <c r="W50">
        <v>1.73917503906038E-2</v>
      </c>
      <c r="X50">
        <v>-2.1000000000000001E-2</v>
      </c>
      <c r="Y50">
        <v>-7.1000000000000004E-3</v>
      </c>
      <c r="Z50">
        <v>-1.7899999999999999E-2</v>
      </c>
      <c r="AA50">
        <v>0</v>
      </c>
      <c r="AB50">
        <v>1.73917503906038E-2</v>
      </c>
      <c r="AC50">
        <v>-3.9734763675989297E-3</v>
      </c>
      <c r="AD50">
        <v>-2.13652267582027E-2</v>
      </c>
      <c r="AE50">
        <v>-7.2234814277732902E-3</v>
      </c>
      <c r="AF50">
        <v>-1.8211312331991799E-2</v>
      </c>
    </row>
    <row r="51" spans="1:32" x14ac:dyDescent="0.2">
      <c r="A51" s="1">
        <v>40268</v>
      </c>
      <c r="B51">
        <v>-8.6305073314566997E-3</v>
      </c>
      <c r="C51">
        <v>4.1361144325325699E-2</v>
      </c>
      <c r="D51">
        <v>0.110901191680662</v>
      </c>
      <c r="E51">
        <v>0.13862564615798501</v>
      </c>
      <c r="F51">
        <v>4.1147459332758499E-2</v>
      </c>
      <c r="G51">
        <v>5.24366631527481E-2</v>
      </c>
      <c r="H51">
        <v>8.6503088940008604E-2</v>
      </c>
      <c r="I51">
        <v>7.2254639583042499E-3</v>
      </c>
      <c r="J51">
        <v>2.46776951030406E-2</v>
      </c>
      <c r="K51">
        <v>3.3204862112911598E-2</v>
      </c>
      <c r="L51">
        <v>4.7258135932162597E-3</v>
      </c>
      <c r="M51">
        <v>-8.2227631133041199E-2</v>
      </c>
      <c r="N51">
        <v>5.7751245220672202E-2</v>
      </c>
      <c r="O51">
        <v>3.5659491829332299E-2</v>
      </c>
      <c r="P51">
        <v>-1.27800414847616E-2</v>
      </c>
      <c r="Q51">
        <v>-4.7160242632265599E-2</v>
      </c>
      <c r="R51">
        <v>6.41</v>
      </c>
      <c r="S51">
        <v>-1.1299999999999999</v>
      </c>
      <c r="T51">
        <v>4.2699999999999996</v>
      </c>
      <c r="U51">
        <v>0.01</v>
      </c>
      <c r="V51">
        <v>0.74011000000000005</v>
      </c>
      <c r="W51">
        <v>8.5111137758495693E-3</v>
      </c>
      <c r="X51">
        <v>6.4100000000000004E-2</v>
      </c>
      <c r="Y51">
        <v>-1.1299999999999999E-2</v>
      </c>
      <c r="Z51">
        <v>4.2700000000000002E-2</v>
      </c>
      <c r="AA51">
        <v>1E-4</v>
      </c>
      <c r="AB51">
        <v>8.6119648872271509E-3</v>
      </c>
      <c r="AC51">
        <v>7.3257527280259097E-2</v>
      </c>
      <c r="AD51">
        <v>6.4645562393031999E-2</v>
      </c>
      <c r="AE51">
        <v>-1.13961755856671E-2</v>
      </c>
      <c r="AF51">
        <v>4.3063424558228799E-2</v>
      </c>
    </row>
    <row r="52" spans="1:32" x14ac:dyDescent="0.2">
      <c r="A52" s="1">
        <v>40298</v>
      </c>
      <c r="B52">
        <v>-3.85251896136461E-3</v>
      </c>
      <c r="C52">
        <v>4.3535664781013998E-2</v>
      </c>
      <c r="D52">
        <v>8.7869473425145297E-2</v>
      </c>
      <c r="E52">
        <v>0.15678327307717399</v>
      </c>
      <c r="F52">
        <v>-3.8142287892630701E-3</v>
      </c>
      <c r="G52">
        <v>2.8023637781231299E-2</v>
      </c>
      <c r="H52">
        <v>9.3612195271914195E-2</v>
      </c>
      <c r="I52">
        <v>0.113854096864947</v>
      </c>
      <c r="J52">
        <v>1.0145028891904999E-3</v>
      </c>
      <c r="K52">
        <v>9.4038680298477503E-3</v>
      </c>
      <c r="L52">
        <v>4.9996439436208302E-2</v>
      </c>
      <c r="M52">
        <v>3.4378520341481901E-2</v>
      </c>
      <c r="N52">
        <v>1.97295749204058E-2</v>
      </c>
      <c r="O52">
        <v>2.4978685577437699E-2</v>
      </c>
      <c r="P52">
        <v>6.89069495671564E-2</v>
      </c>
      <c r="Q52">
        <v>6.5219719438218998E-2</v>
      </c>
      <c r="R52">
        <v>-1.66</v>
      </c>
      <c r="S52">
        <v>3.19</v>
      </c>
      <c r="T52">
        <v>-0.28999999999999998</v>
      </c>
      <c r="U52">
        <v>0.01</v>
      </c>
      <c r="V52">
        <v>0.75199300000000002</v>
      </c>
      <c r="W52">
        <v>1.6055721446811999E-2</v>
      </c>
      <c r="X52">
        <v>-1.66E-2</v>
      </c>
      <c r="Y52">
        <v>3.1899999999999998E-2</v>
      </c>
      <c r="Z52">
        <v>-2.8999999999999998E-3</v>
      </c>
      <c r="AA52">
        <v>1E-4</v>
      </c>
      <c r="AB52">
        <v>1.6157327018956801E-2</v>
      </c>
      <c r="AC52">
        <v>-7.0919795706037003E-4</v>
      </c>
      <c r="AD52">
        <v>-1.6866524976017101E-2</v>
      </c>
      <c r="AE52">
        <v>3.2412177514153297E-2</v>
      </c>
      <c r="AF52">
        <v>-2.9465615921957498E-3</v>
      </c>
    </row>
    <row r="53" spans="1:32" x14ac:dyDescent="0.2">
      <c r="A53" s="1">
        <v>40329</v>
      </c>
      <c r="B53">
        <v>-3.7861792775699199E-3</v>
      </c>
      <c r="C53">
        <v>1.42952524916399E-2</v>
      </c>
      <c r="D53">
        <v>6.8639081390442905E-2</v>
      </c>
      <c r="E53">
        <v>0.13185145488268499</v>
      </c>
      <c r="F53">
        <v>-4.8557335617426901E-2</v>
      </c>
      <c r="G53">
        <v>5.5006994841249402E-3</v>
      </c>
      <c r="H53">
        <v>5.9883580796249697E-2</v>
      </c>
      <c r="I53">
        <v>0.129370879641132</v>
      </c>
      <c r="J53">
        <v>-4.8458340804551699E-2</v>
      </c>
      <c r="K53">
        <v>-1.2501643187284099E-2</v>
      </c>
      <c r="L53">
        <v>4.90170474903543E-2</v>
      </c>
      <c r="M53">
        <v>9.5590793881619895E-2</v>
      </c>
      <c r="N53">
        <v>-4.1149363665418701E-2</v>
      </c>
      <c r="O53">
        <v>-1.0838622956102099E-2</v>
      </c>
      <c r="P53">
        <v>0.103834864356306</v>
      </c>
      <c r="Q53">
        <v>0.121626666250291</v>
      </c>
      <c r="R53">
        <v>-12.05</v>
      </c>
      <c r="S53">
        <v>-0.2</v>
      </c>
      <c r="T53">
        <v>-3.59</v>
      </c>
      <c r="U53">
        <v>0.01</v>
      </c>
      <c r="V53">
        <v>0.81264499999999995</v>
      </c>
      <c r="W53">
        <v>8.0655006097131193E-2</v>
      </c>
      <c r="X53">
        <v>-0.1205</v>
      </c>
      <c r="Y53">
        <v>-2E-3</v>
      </c>
      <c r="Z53">
        <v>-3.5900000000000001E-2</v>
      </c>
      <c r="AA53">
        <v>1E-4</v>
      </c>
      <c r="AB53">
        <v>8.0763071597740793E-2</v>
      </c>
      <c r="AC53">
        <v>-4.9455856636963502E-2</v>
      </c>
      <c r="AD53">
        <v>-0.13021892823470399</v>
      </c>
      <c r="AE53">
        <v>-2.16131001219426E-3</v>
      </c>
      <c r="AF53">
        <v>-3.8795514718887002E-2</v>
      </c>
    </row>
    <row r="54" spans="1:32" x14ac:dyDescent="0.2">
      <c r="A54" s="1">
        <v>40359</v>
      </c>
      <c r="B54">
        <v>2.7136842246350601E-2</v>
      </c>
      <c r="C54">
        <v>-1.07713624973408E-2</v>
      </c>
      <c r="D54">
        <v>3.5258229580626001E-2</v>
      </c>
      <c r="E54">
        <v>0.11116004640506701</v>
      </c>
      <c r="F54">
        <v>-4.2933666422299302E-2</v>
      </c>
      <c r="G54">
        <v>-1.29991919459153E-4</v>
      </c>
      <c r="H54">
        <v>5.3540303833176303E-2</v>
      </c>
      <c r="I54">
        <v>0.137221511950811</v>
      </c>
      <c r="J54">
        <v>-4.6570481143974801E-2</v>
      </c>
      <c r="K54">
        <v>-3.83225713914403E-3</v>
      </c>
      <c r="L54">
        <v>5.1901497025326003E-2</v>
      </c>
      <c r="M54">
        <v>0.12722673871409901</v>
      </c>
      <c r="N54">
        <v>-3.8863554337874001E-2</v>
      </c>
      <c r="O54">
        <v>9.2951251751817107E-3</v>
      </c>
      <c r="P54">
        <v>0.124932856555502</v>
      </c>
      <c r="Q54">
        <v>0.15632156745807199</v>
      </c>
      <c r="R54">
        <v>-0.98</v>
      </c>
      <c r="S54">
        <v>0.11</v>
      </c>
      <c r="T54">
        <v>-2.2200000000000002</v>
      </c>
      <c r="U54">
        <v>0.01</v>
      </c>
      <c r="V54">
        <v>0.81726100000000002</v>
      </c>
      <c r="W54">
        <v>5.6802170689538301E-3</v>
      </c>
      <c r="X54">
        <v>-9.7999999999999997E-3</v>
      </c>
      <c r="Y54">
        <v>1.1000000000000001E-3</v>
      </c>
      <c r="Z54">
        <v>-2.2200000000000001E-2</v>
      </c>
      <c r="AA54">
        <v>1E-4</v>
      </c>
      <c r="AB54">
        <v>5.7807850906608201E-3</v>
      </c>
      <c r="AC54">
        <v>-4.0748810366150199E-3</v>
      </c>
      <c r="AD54">
        <v>-9.8556661272758399E-3</v>
      </c>
      <c r="AE54">
        <v>1.10624823877585E-3</v>
      </c>
      <c r="AF54">
        <v>-2.23261008189308E-2</v>
      </c>
    </row>
    <row r="55" spans="1:32" x14ac:dyDescent="0.2">
      <c r="A55" s="1">
        <v>40390</v>
      </c>
      <c r="B55">
        <v>-5.9711712771277403E-2</v>
      </c>
      <c r="C55">
        <v>-7.7424619310790796E-2</v>
      </c>
      <c r="D55">
        <v>-1.00931519843717E-2</v>
      </c>
      <c r="E55">
        <v>8.2536916404421498E-2</v>
      </c>
      <c r="F55">
        <v>-6.6474253062517905E-2</v>
      </c>
      <c r="G55">
        <v>-6.1099583729068499E-2</v>
      </c>
      <c r="H55">
        <v>1.8642736294311402E-2</v>
      </c>
      <c r="I55">
        <v>0.121546635767046</v>
      </c>
      <c r="J55">
        <v>-6.2137065758358603E-2</v>
      </c>
      <c r="K55">
        <v>-2.38575671439753E-2</v>
      </c>
      <c r="L55">
        <v>3.4786962678225397E-2</v>
      </c>
      <c r="M55">
        <v>0.126209221229406</v>
      </c>
      <c r="N55">
        <v>-4.1977335835623499E-2</v>
      </c>
      <c r="O55">
        <v>2.6129012554280601E-2</v>
      </c>
      <c r="P55">
        <v>0.113704492277049</v>
      </c>
      <c r="Q55">
        <v>0.18023793369031901</v>
      </c>
      <c r="R55">
        <v>11.88</v>
      </c>
      <c r="S55">
        <v>-2.04</v>
      </c>
      <c r="T55">
        <v>4.59</v>
      </c>
      <c r="U55">
        <v>0.01</v>
      </c>
      <c r="V55">
        <v>0.766401</v>
      </c>
      <c r="W55">
        <v>-6.2232261174826699E-2</v>
      </c>
      <c r="X55">
        <v>0.1188</v>
      </c>
      <c r="Y55">
        <v>-2.0400000000000001E-2</v>
      </c>
      <c r="Z55">
        <v>4.5900000000000003E-2</v>
      </c>
      <c r="AA55">
        <v>1E-4</v>
      </c>
      <c r="AB55">
        <v>-6.2138484400944202E-2</v>
      </c>
      <c r="AC55">
        <v>4.9268322971486297E-2</v>
      </c>
      <c r="AD55">
        <v>0.11140680737243</v>
      </c>
      <c r="AE55">
        <v>-1.9130461872033499E-2</v>
      </c>
      <c r="AF55">
        <v>4.3043539212075502E-2</v>
      </c>
    </row>
    <row r="56" spans="1:32" x14ac:dyDescent="0.2">
      <c r="A56" s="1">
        <v>40421</v>
      </c>
      <c r="B56">
        <v>-0.105263963533827</v>
      </c>
      <c r="C56">
        <v>-8.3062410539472303E-2</v>
      </c>
      <c r="D56">
        <v>-3.2047093367319798E-2</v>
      </c>
      <c r="E56">
        <v>6.8368674134590995E-2</v>
      </c>
      <c r="F56">
        <v>-7.9956416175335096E-2</v>
      </c>
      <c r="G56">
        <v>-6.6534344653178201E-2</v>
      </c>
      <c r="H56">
        <v>2.6447611641069999E-2</v>
      </c>
      <c r="I56">
        <v>0.105249276506459</v>
      </c>
      <c r="J56">
        <v>-3.9718071066512602E-2</v>
      </c>
      <c r="K56">
        <v>-2.46819145550571E-2</v>
      </c>
      <c r="L56">
        <v>3.1892705135377397E-2</v>
      </c>
      <c r="M56">
        <v>0.117072323745033</v>
      </c>
      <c r="N56">
        <v>-2.2265201205655599E-2</v>
      </c>
      <c r="O56">
        <v>3.6292492703443799E-2</v>
      </c>
      <c r="P56">
        <v>0.11740265521663799</v>
      </c>
      <c r="Q56">
        <v>0.18811566267485799</v>
      </c>
      <c r="R56">
        <v>-4.26</v>
      </c>
      <c r="S56">
        <v>-0.11</v>
      </c>
      <c r="T56">
        <v>-2.69</v>
      </c>
      <c r="U56">
        <v>0.01</v>
      </c>
      <c r="V56">
        <v>0.78823900000000002</v>
      </c>
      <c r="W56">
        <v>2.84942216933433E-2</v>
      </c>
      <c r="X56">
        <v>-4.2599999999999999E-2</v>
      </c>
      <c r="Y56">
        <v>-1.1000000000000001E-3</v>
      </c>
      <c r="Z56">
        <v>-2.69E-2</v>
      </c>
      <c r="AA56">
        <v>1E-4</v>
      </c>
      <c r="AB56">
        <v>2.8597071115512601E-2</v>
      </c>
      <c r="AC56">
        <v>-1.52167827286238E-2</v>
      </c>
      <c r="AD56">
        <v>-4.3813853844136399E-2</v>
      </c>
      <c r="AE56">
        <v>-1.1313436438626799E-3</v>
      </c>
      <c r="AF56">
        <v>-2.76664945635509E-2</v>
      </c>
    </row>
    <row r="57" spans="1:32" x14ac:dyDescent="0.2">
      <c r="A57" s="1">
        <v>40451</v>
      </c>
      <c r="B57">
        <v>-0.10298219917870299</v>
      </c>
      <c r="C57">
        <v>-6.2067865385501499E-2</v>
      </c>
      <c r="D57">
        <v>-1.9926980068489999E-2</v>
      </c>
      <c r="E57">
        <v>8.2327049119541001E-2</v>
      </c>
      <c r="F57">
        <v>-8.0686638692721205E-2</v>
      </c>
      <c r="G57">
        <v>-7.7201021819097507E-2</v>
      </c>
      <c r="H57">
        <v>2.3053093553131902E-2</v>
      </c>
      <c r="I57">
        <v>0.108885348407398</v>
      </c>
      <c r="J57">
        <v>-2.3501019676595101E-2</v>
      </c>
      <c r="K57">
        <v>-1.9025399318292901E-2</v>
      </c>
      <c r="L57">
        <v>4.34598169337043E-2</v>
      </c>
      <c r="M57">
        <v>0.114525684205804</v>
      </c>
      <c r="N57">
        <v>1.0696314519648E-2</v>
      </c>
      <c r="O57">
        <v>5.7038799713805002E-2</v>
      </c>
      <c r="P57">
        <v>0.138496527846451</v>
      </c>
      <c r="Q57">
        <v>0.177322640820823</v>
      </c>
      <c r="R57">
        <v>11.56</v>
      </c>
      <c r="S57">
        <v>0.98</v>
      </c>
      <c r="T57">
        <v>-0.26</v>
      </c>
      <c r="U57">
        <v>0.01</v>
      </c>
      <c r="V57">
        <v>0.733514</v>
      </c>
      <c r="W57">
        <v>-6.9426912395859602E-2</v>
      </c>
      <c r="X57">
        <v>0.11559999999999999</v>
      </c>
      <c r="Y57">
        <v>9.7999999999999997E-3</v>
      </c>
      <c r="Z57">
        <v>-2.5999999999999999E-3</v>
      </c>
      <c r="AA57">
        <v>1E-4</v>
      </c>
      <c r="AB57">
        <v>-6.9333855087099203E-2</v>
      </c>
      <c r="AC57">
        <v>3.82403938399394E-2</v>
      </c>
      <c r="AD57">
        <v>0.107574248927039</v>
      </c>
      <c r="AE57">
        <v>9.1196162585205805E-3</v>
      </c>
      <c r="AF57">
        <v>-2.4194900277707599E-3</v>
      </c>
    </row>
    <row r="58" spans="1:32" x14ac:dyDescent="0.2">
      <c r="A58" s="1">
        <v>40482</v>
      </c>
      <c r="B58">
        <v>-1.6005593616613901E-2</v>
      </c>
      <c r="C58">
        <v>-7.5297921734065604E-2</v>
      </c>
      <c r="D58">
        <v>-2.1407123307710399E-2</v>
      </c>
      <c r="E58">
        <v>8.8360529763714002E-2</v>
      </c>
      <c r="F58">
        <v>-1.7061507834755098E-2</v>
      </c>
      <c r="G58">
        <v>-7.1400972429071702E-2</v>
      </c>
      <c r="H58">
        <v>3.1805897503421103E-2</v>
      </c>
      <c r="I58">
        <v>0.115407628625464</v>
      </c>
      <c r="J58">
        <v>4.4038495757557699E-3</v>
      </c>
      <c r="K58">
        <v>-1.1249796604258599E-2</v>
      </c>
      <c r="L58">
        <v>5.2806104723690801E-2</v>
      </c>
      <c r="M58">
        <v>0.120975391310345</v>
      </c>
      <c r="N58">
        <v>4.0628373997700903E-2</v>
      </c>
      <c r="O58">
        <v>6.4059205484776505E-2</v>
      </c>
      <c r="P58">
        <v>0.14538509568175301</v>
      </c>
      <c r="Q58">
        <v>0.167900944118375</v>
      </c>
      <c r="R58">
        <v>4.9800000000000004</v>
      </c>
      <c r="S58">
        <v>0.49</v>
      </c>
      <c r="T58">
        <v>7.0000000000000007E-2</v>
      </c>
      <c r="U58">
        <v>0.01</v>
      </c>
      <c r="V58">
        <v>0.71684599999999998</v>
      </c>
      <c r="W58">
        <v>-2.2723492666806601E-2</v>
      </c>
      <c r="X58">
        <v>4.9799999999999997E-2</v>
      </c>
      <c r="Y58">
        <v>4.8999999999999998E-3</v>
      </c>
      <c r="Z58">
        <v>6.9999999999999999E-4</v>
      </c>
      <c r="AA58">
        <v>1E-4</v>
      </c>
      <c r="AB58">
        <v>-2.2625765016073301E-2</v>
      </c>
      <c r="AC58">
        <v>2.6042605049119798E-2</v>
      </c>
      <c r="AD58">
        <v>4.8668370065193103E-2</v>
      </c>
      <c r="AE58">
        <v>4.78865488593265E-3</v>
      </c>
      <c r="AF58">
        <v>6.8409355513323505E-4</v>
      </c>
    </row>
    <row r="59" spans="1:32" x14ac:dyDescent="0.2">
      <c r="A59" s="1">
        <v>40512</v>
      </c>
      <c r="B59">
        <v>2.6468498560423801E-2</v>
      </c>
      <c r="C59">
        <v>-8.27373987411988E-2</v>
      </c>
      <c r="D59">
        <v>-1.33746512090351E-2</v>
      </c>
      <c r="E59">
        <v>8.1969709876445002E-2</v>
      </c>
      <c r="F59">
        <v>3.0555582239797899E-3</v>
      </c>
      <c r="G59">
        <v>-5.7991389783088598E-2</v>
      </c>
      <c r="H59">
        <v>3.5664740527696498E-2</v>
      </c>
      <c r="I59">
        <v>0.124748923407713</v>
      </c>
      <c r="J59">
        <v>2.97635653622761E-2</v>
      </c>
      <c r="K59">
        <v>2.9568156649618801E-2</v>
      </c>
      <c r="L59">
        <v>7.5038009763202698E-2</v>
      </c>
      <c r="M59">
        <v>0.13810520980945601</v>
      </c>
      <c r="N59">
        <v>3.6152971744688102E-2</v>
      </c>
      <c r="O59">
        <v>8.0989410803778306E-2</v>
      </c>
      <c r="P59">
        <v>0.13719428070173101</v>
      </c>
      <c r="Q59">
        <v>0.156580175956507</v>
      </c>
      <c r="R59">
        <v>-8.0299999999999994</v>
      </c>
      <c r="S59">
        <v>1.1499999999999999</v>
      </c>
      <c r="T59">
        <v>-3.42</v>
      </c>
      <c r="U59">
        <v>0.01</v>
      </c>
      <c r="V59">
        <v>0.77041599999999999</v>
      </c>
      <c r="W59">
        <v>7.4730137295876603E-2</v>
      </c>
      <c r="X59">
        <v>-8.0299999999999996E-2</v>
      </c>
      <c r="Y59">
        <v>1.15E-2</v>
      </c>
      <c r="Z59">
        <v>-3.4200000000000001E-2</v>
      </c>
      <c r="AA59">
        <v>1E-4</v>
      </c>
      <c r="AB59">
        <v>7.4837610309606201E-2</v>
      </c>
      <c r="AC59">
        <v>-1.14632197152528E-2</v>
      </c>
      <c r="AD59">
        <v>-8.6300830024858999E-2</v>
      </c>
      <c r="AE59">
        <v>1.2359396578902599E-2</v>
      </c>
      <c r="AF59">
        <v>-3.6755770695518997E-2</v>
      </c>
    </row>
    <row r="60" spans="1:32" x14ac:dyDescent="0.2">
      <c r="A60" s="1">
        <v>40543</v>
      </c>
      <c r="B60">
        <v>3.9730427181009199E-2</v>
      </c>
      <c r="C60">
        <v>-6.6018827978800695E-2</v>
      </c>
      <c r="D60">
        <v>5.0693296647232296E-3</v>
      </c>
      <c r="E60">
        <v>8.2154181459327305E-2</v>
      </c>
      <c r="F60">
        <v>1.8998833823956601E-2</v>
      </c>
      <c r="G60">
        <v>-3.8779961827593801E-2</v>
      </c>
      <c r="H60">
        <v>4.6655873294207097E-2</v>
      </c>
      <c r="I60">
        <v>0.133820732224259</v>
      </c>
      <c r="J60">
        <v>-1.0891360815292401E-2</v>
      </c>
      <c r="K60">
        <v>1.57606538664254E-2</v>
      </c>
      <c r="L60">
        <v>6.1347712328554502E-2</v>
      </c>
      <c r="M60">
        <v>0.13257671219998099</v>
      </c>
      <c r="N60">
        <v>-3.7634985881321499E-3</v>
      </c>
      <c r="O60">
        <v>6.8330111850471095E-2</v>
      </c>
      <c r="P60">
        <v>0.115491977610493</v>
      </c>
      <c r="Q60">
        <v>0.15238842592315899</v>
      </c>
      <c r="R60">
        <v>9.0399999999999991</v>
      </c>
      <c r="S60">
        <v>2.2599999999999998</v>
      </c>
      <c r="T60">
        <v>1.17</v>
      </c>
      <c r="U60">
        <v>0.01</v>
      </c>
      <c r="V60">
        <v>0.74741199999999997</v>
      </c>
      <c r="W60">
        <v>-2.9859192955494201E-2</v>
      </c>
      <c r="X60">
        <v>9.0399999999999994E-2</v>
      </c>
      <c r="Y60">
        <v>2.2599999999999999E-2</v>
      </c>
      <c r="Z60">
        <v>1.17E-2</v>
      </c>
      <c r="AA60">
        <v>1E-4</v>
      </c>
      <c r="AB60">
        <v>-2.97621788747898E-2</v>
      </c>
      <c r="AC60">
        <v>5.7938550082033503E-2</v>
      </c>
      <c r="AD60">
        <v>8.7700728956823307E-2</v>
      </c>
      <c r="AE60">
        <v>2.1925182239205799E-2</v>
      </c>
      <c r="AF60">
        <v>1.1350647442420699E-2</v>
      </c>
    </row>
    <row r="61" spans="1:32" x14ac:dyDescent="0.2">
      <c r="A61" s="1">
        <v>40574</v>
      </c>
      <c r="B61">
        <v>2.70815902267508E-3</v>
      </c>
      <c r="C61">
        <v>7.9765905361862694E-3</v>
      </c>
      <c r="D61">
        <v>-1.22402019214278E-2</v>
      </c>
      <c r="E61">
        <v>7.7375416924910706E-2</v>
      </c>
      <c r="F61">
        <v>-1.3245105755310601E-2</v>
      </c>
      <c r="G61">
        <v>9.1245915430932002E-3</v>
      </c>
      <c r="H61">
        <v>1.7419728812264501E-2</v>
      </c>
      <c r="I61">
        <v>0.114539461085129</v>
      </c>
      <c r="J61">
        <v>-2.56438454841568E-2</v>
      </c>
      <c r="K61">
        <v>4.6139661681515398E-2</v>
      </c>
      <c r="L61">
        <v>5.0037608187310602E-2</v>
      </c>
      <c r="M61">
        <v>0.13313518361337101</v>
      </c>
      <c r="N61">
        <v>-4.1231947054200503E-2</v>
      </c>
      <c r="O61">
        <v>6.6092744796143105E-2</v>
      </c>
      <c r="P61">
        <v>9.6638625679366305E-2</v>
      </c>
      <c r="Q61">
        <v>0.137906479783166</v>
      </c>
      <c r="R61">
        <v>3.68</v>
      </c>
      <c r="S61">
        <v>-0.43</v>
      </c>
      <c r="T61">
        <v>5.47</v>
      </c>
      <c r="U61">
        <v>0.01</v>
      </c>
      <c r="V61">
        <v>0.73067400000000005</v>
      </c>
      <c r="W61">
        <v>-2.2394609666422101E-2</v>
      </c>
      <c r="X61">
        <v>3.6799999999999999E-2</v>
      </c>
      <c r="Y61">
        <v>-4.3E-3</v>
      </c>
      <c r="Z61">
        <v>5.4699999999999999E-2</v>
      </c>
      <c r="AA61">
        <v>1E-4</v>
      </c>
      <c r="AB61">
        <v>-2.2296849127388801E-2</v>
      </c>
      <c r="AC61">
        <v>1.36790292368869E-2</v>
      </c>
      <c r="AD61">
        <v>3.5975878364275703E-2</v>
      </c>
      <c r="AE61">
        <v>-4.2037031784343797E-3</v>
      </c>
      <c r="AF61">
        <v>5.3475014851246699E-2</v>
      </c>
    </row>
    <row r="62" spans="1:32" x14ac:dyDescent="0.2">
      <c r="A62" s="1">
        <v>40602</v>
      </c>
      <c r="B62">
        <v>2.9312012225868999E-2</v>
      </c>
      <c r="C62">
        <v>4.9319152176852399E-2</v>
      </c>
      <c r="D62">
        <v>-1.13240065971386E-2</v>
      </c>
      <c r="E62">
        <v>0.10071814212980799</v>
      </c>
      <c r="F62">
        <v>1.01271751402031E-2</v>
      </c>
      <c r="G62">
        <v>2.23090681798262E-2</v>
      </c>
      <c r="H62">
        <v>2.0282435990698702E-2</v>
      </c>
      <c r="I62">
        <v>0.110852435560842</v>
      </c>
      <c r="J62">
        <v>-3.2286178413062899E-3</v>
      </c>
      <c r="K62">
        <v>8.1489785126468803E-2</v>
      </c>
      <c r="L62">
        <v>7.9234831358412694E-2</v>
      </c>
      <c r="M62">
        <v>0.15653993260872001</v>
      </c>
      <c r="N62">
        <v>-3.6939423868870302E-3</v>
      </c>
      <c r="O62">
        <v>7.6020786916274299E-2</v>
      </c>
      <c r="P62">
        <v>0.11960288782017101</v>
      </c>
      <c r="Q62">
        <v>0.134291538742877</v>
      </c>
      <c r="R62">
        <v>3.06</v>
      </c>
      <c r="S62">
        <v>-1.1499999999999999</v>
      </c>
      <c r="T62">
        <v>0.7</v>
      </c>
      <c r="U62">
        <v>0.01</v>
      </c>
      <c r="V62">
        <v>0.72453299999999998</v>
      </c>
      <c r="W62">
        <v>-8.4045689322461703E-3</v>
      </c>
      <c r="X62">
        <v>3.0599999999999999E-2</v>
      </c>
      <c r="Y62">
        <v>-1.15E-2</v>
      </c>
      <c r="Z62">
        <v>7.0000000000000001E-3</v>
      </c>
      <c r="AA62">
        <v>1E-4</v>
      </c>
      <c r="AB62">
        <v>-8.3054093891393697E-3</v>
      </c>
      <c r="AC62">
        <v>2.2037410801533801E-2</v>
      </c>
      <c r="AD62">
        <v>3.0342820190673098E-2</v>
      </c>
      <c r="AE62">
        <v>-1.14033474572792E-2</v>
      </c>
      <c r="AF62">
        <v>6.94116801747428E-3</v>
      </c>
    </row>
    <row r="63" spans="1:32" x14ac:dyDescent="0.2">
      <c r="A63" s="1">
        <v>40633</v>
      </c>
      <c r="B63">
        <v>5.03318578649085E-2</v>
      </c>
      <c r="C63">
        <v>4.6638952844713297E-2</v>
      </c>
      <c r="D63">
        <v>-7.2210704335824705E-4</v>
      </c>
      <c r="E63">
        <v>0.113551932891495</v>
      </c>
      <c r="F63">
        <v>4.6241107218969402E-2</v>
      </c>
      <c r="G63">
        <v>5.0003980899730599E-2</v>
      </c>
      <c r="H63">
        <v>3.2325204295270998E-2</v>
      </c>
      <c r="I63">
        <v>0.120606968783142</v>
      </c>
      <c r="J63">
        <v>6.5511660598101304E-2</v>
      </c>
      <c r="K63">
        <v>0.101434985914094</v>
      </c>
      <c r="L63">
        <v>9.1765806825639604E-2</v>
      </c>
      <c r="M63">
        <v>0.166602734720732</v>
      </c>
      <c r="N63">
        <v>5.05949834135756E-2</v>
      </c>
      <c r="O63">
        <v>6.5727167579415602E-2</v>
      </c>
      <c r="P63">
        <v>0.11122443182261001</v>
      </c>
      <c r="Q63">
        <v>0.13666483473209001</v>
      </c>
      <c r="R63">
        <v>-0.17</v>
      </c>
      <c r="S63">
        <v>2.17</v>
      </c>
      <c r="T63">
        <v>-1.85</v>
      </c>
      <c r="U63">
        <v>0.01</v>
      </c>
      <c r="V63">
        <v>0.70589100000000005</v>
      </c>
      <c r="W63">
        <v>-2.5729676909126201E-2</v>
      </c>
      <c r="X63">
        <v>-1.6999999999999999E-3</v>
      </c>
      <c r="Y63">
        <v>2.1700000000000001E-2</v>
      </c>
      <c r="Z63">
        <v>-1.8499999999999999E-2</v>
      </c>
      <c r="AA63">
        <v>1E-4</v>
      </c>
      <c r="AB63">
        <v>-2.5632249876817101E-2</v>
      </c>
      <c r="AC63">
        <v>-2.7288509426071601E-2</v>
      </c>
      <c r="AD63">
        <v>-1.6562595492545201E-3</v>
      </c>
      <c r="AE63">
        <v>2.1141666011072001E-2</v>
      </c>
      <c r="AF63">
        <v>-1.8024000977181199E-2</v>
      </c>
    </row>
    <row r="64" spans="1:32" x14ac:dyDescent="0.2">
      <c r="A64" s="1">
        <v>40663</v>
      </c>
      <c r="B64">
        <v>9.5522515349758697E-2</v>
      </c>
      <c r="C64">
        <v>7.42630455490116E-2</v>
      </c>
      <c r="D64">
        <v>6.6619670894107794E-2</v>
      </c>
      <c r="E64">
        <v>0.115953938320055</v>
      </c>
      <c r="F64">
        <v>9.0998102078506296E-2</v>
      </c>
      <c r="G64">
        <v>4.6871584797428902E-2</v>
      </c>
      <c r="H64">
        <v>7.6031098955913298E-2</v>
      </c>
      <c r="I64">
        <v>0.118974528641132</v>
      </c>
      <c r="J64">
        <v>8.4058158423752402E-2</v>
      </c>
      <c r="K64">
        <v>9.1181837948989E-2</v>
      </c>
      <c r="L64">
        <v>0.123857400288666</v>
      </c>
      <c r="M64">
        <v>0.165946559378709</v>
      </c>
      <c r="N64">
        <v>0.103353179681289</v>
      </c>
      <c r="O64">
        <v>7.0213090715119095E-2</v>
      </c>
      <c r="P64">
        <v>0.13643828651067499</v>
      </c>
      <c r="Q64">
        <v>0.14779671230543201</v>
      </c>
      <c r="R64">
        <v>8.14</v>
      </c>
      <c r="S64">
        <v>-1.1200000000000001</v>
      </c>
      <c r="T64">
        <v>-0.76</v>
      </c>
      <c r="U64">
        <v>0</v>
      </c>
      <c r="V64">
        <v>0.67558399999999996</v>
      </c>
      <c r="W64">
        <v>-4.2934390720380397E-2</v>
      </c>
      <c r="X64">
        <v>8.14E-2</v>
      </c>
      <c r="Y64">
        <v>-1.12E-2</v>
      </c>
      <c r="Z64">
        <v>-7.6E-3</v>
      </c>
      <c r="AA64">
        <v>0</v>
      </c>
      <c r="AB64">
        <v>-4.2934390720380397E-2</v>
      </c>
      <c r="AC64">
        <v>3.49707498749805E-2</v>
      </c>
      <c r="AD64">
        <v>7.7905140595360897E-2</v>
      </c>
      <c r="AE64">
        <v>-1.0719134823931701E-2</v>
      </c>
      <c r="AF64">
        <v>-7.2736986305251099E-3</v>
      </c>
    </row>
    <row r="65" spans="1:32" x14ac:dyDescent="0.2">
      <c r="A65" s="1">
        <v>40694</v>
      </c>
      <c r="B65">
        <v>6.93613227811882E-2</v>
      </c>
      <c r="C65">
        <v>9.3589630565506302E-2</v>
      </c>
      <c r="D65">
        <v>8.8855269671168094E-2</v>
      </c>
      <c r="E65">
        <v>0.11004672030132399</v>
      </c>
      <c r="F65">
        <v>9.02031927015359E-2</v>
      </c>
      <c r="G65">
        <v>4.91861742499346E-2</v>
      </c>
      <c r="H65">
        <v>8.42930996522194E-2</v>
      </c>
      <c r="I65">
        <v>0.13093596951901801</v>
      </c>
      <c r="J65">
        <v>4.55974644162725E-2</v>
      </c>
      <c r="K65">
        <v>5.5238795956777102E-2</v>
      </c>
      <c r="L65">
        <v>0.13820111515330399</v>
      </c>
      <c r="M65">
        <v>0.171820199366231</v>
      </c>
      <c r="N65">
        <v>0.11638220989299</v>
      </c>
      <c r="O65">
        <v>9.6901611650546199E-2</v>
      </c>
      <c r="P65">
        <v>0.16046505933796601</v>
      </c>
      <c r="Q65">
        <v>0.17737384776132001</v>
      </c>
      <c r="R65">
        <v>-3.06</v>
      </c>
      <c r="S65">
        <v>0.16</v>
      </c>
      <c r="T65">
        <v>-2.25</v>
      </c>
      <c r="U65">
        <v>0</v>
      </c>
      <c r="V65">
        <v>0.694662</v>
      </c>
      <c r="W65">
        <v>2.8239271504357798E-2</v>
      </c>
      <c r="X65">
        <v>-3.0599999999999999E-2</v>
      </c>
      <c r="Y65">
        <v>1.6000000000000001E-3</v>
      </c>
      <c r="Z65">
        <v>-2.2499999999999999E-2</v>
      </c>
      <c r="AA65">
        <v>0</v>
      </c>
      <c r="AB65">
        <v>2.8239271504357798E-2</v>
      </c>
      <c r="AC65">
        <v>-3.2248502036754702E-3</v>
      </c>
      <c r="AD65">
        <v>-3.1464121708033303E-2</v>
      </c>
      <c r="AE65">
        <v>1.64518283440697E-3</v>
      </c>
      <c r="AF65">
        <v>-2.3135383608847999E-2</v>
      </c>
    </row>
    <row r="66" spans="1:32" x14ac:dyDescent="0.2">
      <c r="A66" s="1">
        <v>40724</v>
      </c>
      <c r="B66">
        <v>7.17519128973656E-2</v>
      </c>
      <c r="C66">
        <v>0.122574192222451</v>
      </c>
      <c r="D66">
        <v>9.8690646602022397E-2</v>
      </c>
      <c r="E66">
        <v>0.138546542091144</v>
      </c>
      <c r="F66">
        <v>5.31197573966639E-2</v>
      </c>
      <c r="G66">
        <v>4.4371649727629102E-2</v>
      </c>
      <c r="H66">
        <v>9.7232339748489605E-2</v>
      </c>
      <c r="I66">
        <v>0.13520134484666499</v>
      </c>
      <c r="J66">
        <v>-7.8439217740159592E-3</v>
      </c>
      <c r="K66">
        <v>6.7964391019230505E-2</v>
      </c>
      <c r="L66">
        <v>0.14765035326456</v>
      </c>
      <c r="M66">
        <v>0.17073006840659499</v>
      </c>
      <c r="N66">
        <v>0.11995235816411599</v>
      </c>
      <c r="O66">
        <v>0.135866559784771</v>
      </c>
      <c r="P66">
        <v>0.17836188202356701</v>
      </c>
      <c r="Q66">
        <v>0.18491144561928399</v>
      </c>
      <c r="R66">
        <v>-2.0499999999999998</v>
      </c>
      <c r="S66">
        <v>-1.36</v>
      </c>
      <c r="T66">
        <v>0.08</v>
      </c>
      <c r="U66">
        <v>0</v>
      </c>
      <c r="V66">
        <v>0.68934600000000001</v>
      </c>
      <c r="W66">
        <v>-7.6526425801324302E-3</v>
      </c>
      <c r="X66">
        <v>-2.0500000000000001E-2</v>
      </c>
      <c r="Y66">
        <v>-1.3599999999999999E-2</v>
      </c>
      <c r="Z66">
        <v>8.0000000000000004E-4</v>
      </c>
      <c r="AA66">
        <v>0</v>
      </c>
      <c r="AB66">
        <v>-7.6526425801324302E-3</v>
      </c>
      <c r="AC66">
        <v>-2.79957634072396E-2</v>
      </c>
      <c r="AD66">
        <v>-2.0343120827107201E-2</v>
      </c>
      <c r="AE66">
        <v>-1.34959240609102E-2</v>
      </c>
      <c r="AF66">
        <v>7.93877885935894E-4</v>
      </c>
    </row>
    <row r="67" spans="1:32" x14ac:dyDescent="0.2">
      <c r="A67" s="1">
        <v>40755</v>
      </c>
      <c r="B67">
        <v>7.6540362706299894E-2</v>
      </c>
      <c r="C67">
        <v>0.138945058575277</v>
      </c>
      <c r="D67">
        <v>0.115650783066557</v>
      </c>
      <c r="E67">
        <v>0.174044924909529</v>
      </c>
      <c r="F67">
        <v>8.9774691689383304E-2</v>
      </c>
      <c r="G67">
        <v>0.101085935979787</v>
      </c>
      <c r="H67">
        <v>0.111312953975458</v>
      </c>
      <c r="I67">
        <v>0.17564421516249701</v>
      </c>
      <c r="J67">
        <v>-2.23597182499313E-3</v>
      </c>
      <c r="K67">
        <v>8.5770777488101205E-2</v>
      </c>
      <c r="L67">
        <v>0.149127230940516</v>
      </c>
      <c r="M67">
        <v>0.19049893876340501</v>
      </c>
      <c r="N67">
        <v>0.10233832147695</v>
      </c>
      <c r="O67">
        <v>0.166577226570814</v>
      </c>
      <c r="P67">
        <v>0.19261734343530501</v>
      </c>
      <c r="Q67">
        <v>0.2071671971731</v>
      </c>
      <c r="R67">
        <v>-3.33</v>
      </c>
      <c r="S67">
        <v>0.32</v>
      </c>
      <c r="T67">
        <v>-4.05</v>
      </c>
      <c r="U67">
        <v>0</v>
      </c>
      <c r="V67">
        <v>0.69463699999999995</v>
      </c>
      <c r="W67">
        <v>7.6753908777302798E-3</v>
      </c>
      <c r="X67">
        <v>-3.3300000000000003E-2</v>
      </c>
      <c r="Y67">
        <v>3.2000000000000002E-3</v>
      </c>
      <c r="Z67">
        <v>-4.0500000000000001E-2</v>
      </c>
      <c r="AA67">
        <v>0</v>
      </c>
      <c r="AB67">
        <v>7.6753908777302798E-3</v>
      </c>
      <c r="AC67">
        <v>-2.5880199638498101E-2</v>
      </c>
      <c r="AD67">
        <v>-3.3555590516228397E-2</v>
      </c>
      <c r="AE67">
        <v>3.22456125080874E-3</v>
      </c>
      <c r="AF67">
        <v>-4.0810853330548097E-2</v>
      </c>
    </row>
    <row r="68" spans="1:32" x14ac:dyDescent="0.2">
      <c r="A68" s="1">
        <v>40786</v>
      </c>
      <c r="B68">
        <v>9.1696575028637803E-2</v>
      </c>
      <c r="C68">
        <v>0.13570975232273699</v>
      </c>
      <c r="D68">
        <v>0.13354769519801199</v>
      </c>
      <c r="E68">
        <v>0.19404226403508101</v>
      </c>
      <c r="F68">
        <v>0.113177511801274</v>
      </c>
      <c r="G68">
        <v>0.13851962613079299</v>
      </c>
      <c r="H68">
        <v>0.132251970375244</v>
      </c>
      <c r="I68">
        <v>0.20003899269859701</v>
      </c>
      <c r="J68">
        <v>4.1749551992334599E-2</v>
      </c>
      <c r="K68">
        <v>9.5134849366728294E-2</v>
      </c>
      <c r="L68">
        <v>0.15404453604830601</v>
      </c>
      <c r="M68">
        <v>0.22277816600636899</v>
      </c>
      <c r="N68">
        <v>8.9068166293842704E-2</v>
      </c>
      <c r="O68">
        <v>0.18000358775721301</v>
      </c>
      <c r="P68">
        <v>0.21232209510921901</v>
      </c>
      <c r="Q68">
        <v>0.22823195888249301</v>
      </c>
      <c r="R68">
        <v>-10.1</v>
      </c>
      <c r="S68">
        <v>0.76</v>
      </c>
      <c r="T68">
        <v>-3.79</v>
      </c>
      <c r="U68">
        <v>0.01</v>
      </c>
      <c r="V68">
        <v>0.69548299999999996</v>
      </c>
      <c r="W68">
        <v>1.2179023000502599E-3</v>
      </c>
      <c r="X68">
        <v>-0.10100000000000001</v>
      </c>
      <c r="Y68">
        <v>7.6E-3</v>
      </c>
      <c r="Z68">
        <v>-3.7900000000000003E-2</v>
      </c>
      <c r="AA68">
        <v>1E-4</v>
      </c>
      <c r="AB68">
        <v>1.31802409028015E-3</v>
      </c>
      <c r="AC68">
        <v>-9.98049840420248E-2</v>
      </c>
      <c r="AD68">
        <v>-0.101123008132305</v>
      </c>
      <c r="AE68">
        <v>7.6092560574803798E-3</v>
      </c>
      <c r="AF68">
        <v>-3.7946158497171902E-2</v>
      </c>
    </row>
    <row r="69" spans="1:32" x14ac:dyDescent="0.2">
      <c r="A69" s="1">
        <v>40816</v>
      </c>
      <c r="B69">
        <v>0.10263965767916</v>
      </c>
      <c r="C69">
        <v>0.13026429299475001</v>
      </c>
      <c r="D69">
        <v>0.122684217521817</v>
      </c>
      <c r="E69">
        <v>0.16243816330751901</v>
      </c>
      <c r="F69">
        <v>0.16259403491892499</v>
      </c>
      <c r="G69">
        <v>0.136119057169203</v>
      </c>
      <c r="H69">
        <v>0.12690800337688901</v>
      </c>
      <c r="I69">
        <v>0.20295265564510201</v>
      </c>
      <c r="J69">
        <v>0.112734429897836</v>
      </c>
      <c r="K69">
        <v>9.4219113232661397E-2</v>
      </c>
      <c r="L69">
        <v>0.16839187081468401</v>
      </c>
      <c r="M69">
        <v>0.22534287573839201</v>
      </c>
      <c r="N69">
        <v>0.11064976154400499</v>
      </c>
      <c r="O69">
        <v>0.209771007634238</v>
      </c>
      <c r="P69">
        <v>0.24229725429372101</v>
      </c>
      <c r="Q69">
        <v>0.25335608655693598</v>
      </c>
      <c r="R69">
        <v>-11.61</v>
      </c>
      <c r="S69">
        <v>-1.0900000000000001</v>
      </c>
      <c r="T69">
        <v>-1.88</v>
      </c>
      <c r="U69">
        <v>0</v>
      </c>
      <c r="V69">
        <v>0.74704899999999996</v>
      </c>
      <c r="W69">
        <v>7.4144155931920697E-2</v>
      </c>
      <c r="X69">
        <v>-0.11609999999999999</v>
      </c>
      <c r="Y69">
        <v>-1.09E-2</v>
      </c>
      <c r="Z69">
        <v>-1.8800000000000001E-2</v>
      </c>
      <c r="AA69">
        <v>0</v>
      </c>
      <c r="AB69">
        <v>7.4144155931920697E-2</v>
      </c>
      <c r="AC69">
        <v>-5.0563980571775198E-2</v>
      </c>
      <c r="AD69">
        <v>-0.124708136503696</v>
      </c>
      <c r="AE69">
        <v>-1.1708171299657901E-2</v>
      </c>
      <c r="AF69">
        <v>-2.0193910131520099E-2</v>
      </c>
    </row>
    <row r="70" spans="1:32" x14ac:dyDescent="0.2">
      <c r="A70" s="1">
        <v>40847</v>
      </c>
      <c r="B70">
        <v>5.9500727339039702E-2</v>
      </c>
      <c r="C70">
        <v>5.4496725477842699E-2</v>
      </c>
      <c r="D70">
        <v>9.3296345662986793E-2</v>
      </c>
      <c r="E70">
        <v>0.12586463186571201</v>
      </c>
      <c r="F70">
        <v>0.118179185656799</v>
      </c>
      <c r="G70">
        <v>0.11405039727652801</v>
      </c>
      <c r="H70">
        <v>0.122673140593823</v>
      </c>
      <c r="I70">
        <v>0.17390347916134399</v>
      </c>
      <c r="J70">
        <v>0.124397394814752</v>
      </c>
      <c r="K70">
        <v>7.7968015601773896E-2</v>
      </c>
      <c r="L70">
        <v>0.15243798790066301</v>
      </c>
      <c r="M70">
        <v>0.20367016252106901</v>
      </c>
      <c r="N70">
        <v>0.141032198437539</v>
      </c>
      <c r="O70">
        <v>0.20669864620171999</v>
      </c>
      <c r="P70">
        <v>0.26075713819915602</v>
      </c>
      <c r="Q70">
        <v>0.267340400736508</v>
      </c>
      <c r="R70">
        <v>10.97</v>
      </c>
      <c r="S70">
        <v>-3.4</v>
      </c>
      <c r="T70">
        <v>-1.23</v>
      </c>
      <c r="U70">
        <v>0</v>
      </c>
      <c r="V70">
        <v>0.72163100000000002</v>
      </c>
      <c r="W70">
        <v>-3.4024541897519398E-2</v>
      </c>
      <c r="X70">
        <v>0.10970000000000001</v>
      </c>
      <c r="Y70">
        <v>-3.4000000000000002E-2</v>
      </c>
      <c r="Z70">
        <v>-1.23E-2</v>
      </c>
      <c r="AA70">
        <v>0</v>
      </c>
      <c r="AB70">
        <v>-3.4024541897519398E-2</v>
      </c>
      <c r="AC70">
        <v>7.1942965856322594E-2</v>
      </c>
      <c r="AD70">
        <v>0.10596750775384201</v>
      </c>
      <c r="AE70">
        <v>-3.28431655754843E-2</v>
      </c>
      <c r="AF70">
        <v>-1.1881498134660501E-2</v>
      </c>
    </row>
    <row r="71" spans="1:32" x14ac:dyDescent="0.2">
      <c r="A71" s="1">
        <v>40877</v>
      </c>
      <c r="B71">
        <v>1.9401691305509E-3</v>
      </c>
      <c r="C71">
        <v>-1.04090211208314E-2</v>
      </c>
      <c r="D71">
        <v>6.5811705902935794E-2</v>
      </c>
      <c r="E71">
        <v>9.7755544357692806E-2</v>
      </c>
      <c r="F71">
        <v>6.6460505479350895E-2</v>
      </c>
      <c r="G71">
        <v>8.8803953636473698E-2</v>
      </c>
      <c r="H71">
        <v>0.13254873224085101</v>
      </c>
      <c r="I71">
        <v>0.15458447801077199</v>
      </c>
      <c r="J71">
        <v>0.102230658957639</v>
      </c>
      <c r="K71">
        <v>8.0123861946778493E-2</v>
      </c>
      <c r="L71">
        <v>0.133727620439097</v>
      </c>
      <c r="M71">
        <v>0.18044890121790999</v>
      </c>
      <c r="N71">
        <v>0.12786010067192999</v>
      </c>
      <c r="O71">
        <v>0.17138435166922</v>
      </c>
      <c r="P71">
        <v>0.25007461785412199</v>
      </c>
      <c r="Q71">
        <v>0.26841858683362502</v>
      </c>
      <c r="R71">
        <v>-4.84</v>
      </c>
      <c r="S71">
        <v>-2.5499999999999998</v>
      </c>
      <c r="T71">
        <v>-3.36</v>
      </c>
      <c r="U71">
        <v>0</v>
      </c>
      <c r="V71">
        <v>0.74385400000000002</v>
      </c>
      <c r="W71">
        <v>3.0795517376609498E-2</v>
      </c>
      <c r="X71">
        <v>-4.8399999999999999E-2</v>
      </c>
      <c r="Y71">
        <v>-2.5499999999999998E-2</v>
      </c>
      <c r="Z71">
        <v>-3.3599999999999998E-2</v>
      </c>
      <c r="AA71">
        <v>0</v>
      </c>
      <c r="AB71">
        <v>3.0795517376609498E-2</v>
      </c>
      <c r="AC71">
        <v>-1.9094985664418501E-2</v>
      </c>
      <c r="AD71">
        <v>-4.9890503041027899E-2</v>
      </c>
      <c r="AE71">
        <v>-2.62852856931035E-2</v>
      </c>
      <c r="AF71">
        <v>-3.4634729383854097E-2</v>
      </c>
    </row>
    <row r="72" spans="1:32" x14ac:dyDescent="0.2">
      <c r="A72" s="1">
        <v>40908</v>
      </c>
      <c r="B72">
        <v>-6.9288923138344005E-2</v>
      </c>
      <c r="C72">
        <v>-5.0943909413389103E-2</v>
      </c>
      <c r="D72">
        <v>7.5321647724007706E-2</v>
      </c>
      <c r="E72">
        <v>8.5492084645906602E-2</v>
      </c>
      <c r="F72">
        <v>-4.2579241288586298E-2</v>
      </c>
      <c r="G72">
        <v>6.2832042708120303E-2</v>
      </c>
      <c r="H72">
        <v>0.12590221381287101</v>
      </c>
      <c r="I72">
        <v>0.13599365961319301</v>
      </c>
      <c r="J72">
        <v>-1.35242932482978E-2</v>
      </c>
      <c r="K72">
        <v>6.9433018435222205E-2</v>
      </c>
      <c r="L72">
        <v>0.114662042149225</v>
      </c>
      <c r="M72">
        <v>0.17037011159812801</v>
      </c>
      <c r="N72">
        <v>3.60702266076195E-2</v>
      </c>
      <c r="O72">
        <v>0.133174410072911</v>
      </c>
      <c r="P72">
        <v>0.24331769911826601</v>
      </c>
      <c r="Q72">
        <v>0.26745958434203099</v>
      </c>
      <c r="R72">
        <v>-2.2000000000000002</v>
      </c>
      <c r="S72">
        <v>-0.98</v>
      </c>
      <c r="T72">
        <v>-1.07</v>
      </c>
      <c r="U72">
        <v>0</v>
      </c>
      <c r="V72">
        <v>0.77234999999999998</v>
      </c>
      <c r="W72">
        <v>3.8308592815256698E-2</v>
      </c>
      <c r="X72">
        <v>-2.1999999999999999E-2</v>
      </c>
      <c r="Y72">
        <v>-9.7999999999999997E-3</v>
      </c>
      <c r="Z72">
        <v>-1.0699999999999999E-2</v>
      </c>
      <c r="AA72">
        <v>0</v>
      </c>
      <c r="AB72">
        <v>3.8308592815256698E-2</v>
      </c>
      <c r="AC72">
        <v>1.54658037733211E-2</v>
      </c>
      <c r="AD72">
        <v>-2.28427890419356E-2</v>
      </c>
      <c r="AE72">
        <v>-1.0175424209589499E-2</v>
      </c>
      <c r="AF72">
        <v>-1.1109901943123199E-2</v>
      </c>
    </row>
    <row r="73" spans="1:32" x14ac:dyDescent="0.2">
      <c r="A73" s="1">
        <v>40939</v>
      </c>
      <c r="B73">
        <v>-8.3300488973890197E-2</v>
      </c>
      <c r="C73">
        <v>-7.2364506758647001E-2</v>
      </c>
      <c r="D73">
        <v>5.5183308327747503E-2</v>
      </c>
      <c r="E73">
        <v>8.5946429595023605E-2</v>
      </c>
      <c r="F73">
        <v>-0.107938459205425</v>
      </c>
      <c r="G73">
        <v>8.2190220822597696E-3</v>
      </c>
      <c r="H73">
        <v>0.11377575577266601</v>
      </c>
      <c r="I73">
        <v>0.13064262431783599</v>
      </c>
      <c r="J73">
        <v>-9.5065472927521294E-2</v>
      </c>
      <c r="K73">
        <v>4.89399480046675E-2</v>
      </c>
      <c r="L73">
        <v>0.10406317389098001</v>
      </c>
      <c r="M73">
        <v>0.15115921193604101</v>
      </c>
      <c r="N73">
        <v>-6.5808461804122795E-2</v>
      </c>
      <c r="O73">
        <v>0.10413186231442099</v>
      </c>
      <c r="P73">
        <v>0.223611937078386</v>
      </c>
      <c r="Q73">
        <v>0.26016913110922202</v>
      </c>
      <c r="R73">
        <v>5.68</v>
      </c>
      <c r="S73">
        <v>2.75</v>
      </c>
      <c r="T73">
        <v>1.06</v>
      </c>
      <c r="U73">
        <v>0</v>
      </c>
      <c r="V73">
        <v>0.76461400000000002</v>
      </c>
      <c r="W73">
        <v>-1.001618437237E-2</v>
      </c>
      <c r="X73">
        <v>5.6800000000000003E-2</v>
      </c>
      <c r="Y73">
        <v>2.75E-2</v>
      </c>
      <c r="Z73">
        <v>1.06E-2</v>
      </c>
      <c r="AA73">
        <v>0</v>
      </c>
      <c r="AB73">
        <v>-1.001618437237E-2</v>
      </c>
      <c r="AC73">
        <v>4.6214896355279297E-2</v>
      </c>
      <c r="AD73">
        <v>5.6231080727649298E-2</v>
      </c>
      <c r="AE73">
        <v>2.7224554929759798E-2</v>
      </c>
      <c r="AF73">
        <v>1.04938284456529E-2</v>
      </c>
    </row>
    <row r="74" spans="1:32" x14ac:dyDescent="0.2">
      <c r="A74" s="1">
        <v>40968</v>
      </c>
      <c r="B74">
        <v>-1.51090731856411E-2</v>
      </c>
      <c r="C74">
        <v>-5.4790065290680298E-2</v>
      </c>
      <c r="D74">
        <v>7.3079772487689099E-2</v>
      </c>
      <c r="E74">
        <v>8.9076820826527195E-2</v>
      </c>
      <c r="F74">
        <v>-0.117076975400374</v>
      </c>
      <c r="G74">
        <v>-8.1308591970986506E-3</v>
      </c>
      <c r="H74">
        <v>0.1200386239485</v>
      </c>
      <c r="I74">
        <v>0.13741734227937399</v>
      </c>
      <c r="J74">
        <v>-0.10381162185046</v>
      </c>
      <c r="K74">
        <v>5.3808004663559603E-2</v>
      </c>
      <c r="L74">
        <v>0.12744862421881401</v>
      </c>
      <c r="M74">
        <v>0.139865147689226</v>
      </c>
      <c r="N74">
        <v>-6.6848976029193694E-2</v>
      </c>
      <c r="O74">
        <v>0.10849956539757399</v>
      </c>
      <c r="P74">
        <v>0.21635800961934701</v>
      </c>
      <c r="Q74">
        <v>0.25514527549461602</v>
      </c>
      <c r="R74">
        <v>6.41</v>
      </c>
      <c r="S74">
        <v>1.52</v>
      </c>
      <c r="T74">
        <v>-0.36</v>
      </c>
      <c r="U74">
        <v>0</v>
      </c>
      <c r="V74">
        <v>0.750413</v>
      </c>
      <c r="W74">
        <v>-1.8572770051293899E-2</v>
      </c>
      <c r="X74">
        <v>6.4100000000000004E-2</v>
      </c>
      <c r="Y74">
        <v>1.52E-2</v>
      </c>
      <c r="Z74">
        <v>-3.5999999999999999E-3</v>
      </c>
      <c r="AA74">
        <v>0</v>
      </c>
      <c r="AB74">
        <v>-1.8572770051293899E-2</v>
      </c>
      <c r="AC74">
        <v>4.4336715388418199E-2</v>
      </c>
      <c r="AD74">
        <v>6.2909485439712101E-2</v>
      </c>
      <c r="AE74">
        <v>1.49176938952203E-2</v>
      </c>
      <c r="AF74">
        <v>-3.5331380278153402E-3</v>
      </c>
    </row>
    <row r="75" spans="1:32" x14ac:dyDescent="0.2">
      <c r="A75" s="1">
        <v>40999</v>
      </c>
      <c r="B75">
        <v>2.7158198386382799E-2</v>
      </c>
      <c r="C75">
        <v>-3.980313127718E-2</v>
      </c>
      <c r="D75">
        <v>5.7940551362379203E-2</v>
      </c>
      <c r="E75">
        <v>9.7613883168251203E-2</v>
      </c>
      <c r="F75">
        <v>-6.0227696081666997E-2</v>
      </c>
      <c r="G75">
        <v>3.1445943627536098E-3</v>
      </c>
      <c r="H75">
        <v>0.126607755864414</v>
      </c>
      <c r="I75">
        <v>0.13546660038687999</v>
      </c>
      <c r="J75">
        <v>-8.3640662052936795E-3</v>
      </c>
      <c r="K75">
        <v>6.6777541354599498E-2</v>
      </c>
      <c r="L75">
        <v>0.131011440082622</v>
      </c>
      <c r="M75">
        <v>0.129671084005753</v>
      </c>
      <c r="N75">
        <v>1.18972142909198E-2</v>
      </c>
      <c r="O75">
        <v>0.107752684665386</v>
      </c>
      <c r="P75">
        <v>0.199549540881751</v>
      </c>
      <c r="Q75">
        <v>0.24892727671088299</v>
      </c>
      <c r="R75">
        <v>0.02</v>
      </c>
      <c r="S75">
        <v>0.66</v>
      </c>
      <c r="T75">
        <v>-1.41</v>
      </c>
      <c r="U75">
        <v>0</v>
      </c>
      <c r="V75">
        <v>0.74939999999999996</v>
      </c>
      <c r="W75">
        <v>-1.34992330889794E-3</v>
      </c>
      <c r="X75">
        <v>2.0000000000000001E-4</v>
      </c>
      <c r="Y75">
        <v>6.6E-3</v>
      </c>
      <c r="Z75">
        <v>-1.41E-2</v>
      </c>
      <c r="AA75">
        <v>0</v>
      </c>
      <c r="AB75">
        <v>-1.34992330889794E-3</v>
      </c>
      <c r="AC75">
        <v>-1.1501932935597001E-3</v>
      </c>
      <c r="AD75">
        <v>1.9973001533824E-4</v>
      </c>
      <c r="AE75">
        <v>6.59109050616127E-3</v>
      </c>
      <c r="AF75">
        <v>-1.4080966081344499E-2</v>
      </c>
    </row>
    <row r="76" spans="1:32" x14ac:dyDescent="0.2">
      <c r="A76" s="1">
        <v>41029</v>
      </c>
      <c r="B76">
        <v>2.3446389988968901E-2</v>
      </c>
      <c r="C76">
        <v>6.0686793652462902E-3</v>
      </c>
      <c r="D76">
        <v>3.8903402651869201E-2</v>
      </c>
      <c r="E76">
        <v>7.5781376423153204E-2</v>
      </c>
      <c r="F76">
        <v>6.0466473047370202E-4</v>
      </c>
      <c r="G76">
        <v>5.1335356232128398E-2</v>
      </c>
      <c r="H76">
        <v>0.118350029460097</v>
      </c>
      <c r="I76">
        <v>0.13766438922902499</v>
      </c>
      <c r="J76">
        <v>7.7461526202208197E-2</v>
      </c>
      <c r="K76">
        <v>0.122229247757475</v>
      </c>
      <c r="L76">
        <v>0.134979799107387</v>
      </c>
      <c r="M76">
        <v>0.13549898973490301</v>
      </c>
      <c r="N76">
        <v>0.12475234358159</v>
      </c>
      <c r="O76">
        <v>0.14239854951957101</v>
      </c>
      <c r="P76">
        <v>0.19780966458288099</v>
      </c>
      <c r="Q76">
        <v>0.25577556605284102</v>
      </c>
      <c r="R76">
        <v>-2.23</v>
      </c>
      <c r="S76">
        <v>1.37</v>
      </c>
      <c r="T76">
        <v>-4.1900000000000004</v>
      </c>
      <c r="U76">
        <v>0</v>
      </c>
      <c r="V76">
        <v>0.75525799999999998</v>
      </c>
      <c r="W76">
        <v>7.8169202028288698E-3</v>
      </c>
      <c r="X76">
        <v>-2.23E-2</v>
      </c>
      <c r="Y76">
        <v>1.37E-2</v>
      </c>
      <c r="Z76">
        <v>-4.19E-2</v>
      </c>
      <c r="AA76">
        <v>0</v>
      </c>
      <c r="AB76">
        <v>7.8169202028288698E-3</v>
      </c>
      <c r="AC76">
        <v>-1.4657397117694201E-2</v>
      </c>
      <c r="AD76">
        <v>-2.2474317320523102E-2</v>
      </c>
      <c r="AE76">
        <v>1.3807091806778801E-2</v>
      </c>
      <c r="AF76">
        <v>-4.2227528956498499E-2</v>
      </c>
    </row>
    <row r="77" spans="1:32" x14ac:dyDescent="0.2">
      <c r="A77" s="1">
        <v>41060</v>
      </c>
      <c r="B77">
        <v>-2.5540100254264501E-2</v>
      </c>
      <c r="C77">
        <v>5.1169063870647E-2</v>
      </c>
      <c r="D77">
        <v>1.5829755083329199E-2</v>
      </c>
      <c r="E77">
        <v>5.6629783365335501E-2</v>
      </c>
      <c r="F77">
        <v>2.1853175251845401E-2</v>
      </c>
      <c r="G77">
        <v>7.8757761358556805E-2</v>
      </c>
      <c r="H77">
        <v>9.9781064994872007E-2</v>
      </c>
      <c r="I77">
        <v>0.12442797446353999</v>
      </c>
      <c r="J77">
        <v>0.11828507471076399</v>
      </c>
      <c r="K77">
        <v>0.16744234775876701</v>
      </c>
      <c r="L77">
        <v>0.13036427010636401</v>
      </c>
      <c r="M77">
        <v>0.143434031676337</v>
      </c>
      <c r="N77">
        <v>0.16599198947923699</v>
      </c>
      <c r="O77">
        <v>0.183033175400798</v>
      </c>
      <c r="P77">
        <v>0.188100898135135</v>
      </c>
      <c r="Q77">
        <v>0.23765971491995699</v>
      </c>
      <c r="R77">
        <v>-12.32</v>
      </c>
      <c r="S77">
        <v>0.2</v>
      </c>
      <c r="T77">
        <v>-2.57</v>
      </c>
      <c r="U77">
        <v>0.01</v>
      </c>
      <c r="V77">
        <v>0.80915999999999999</v>
      </c>
      <c r="W77">
        <v>7.1368989140134995E-2</v>
      </c>
      <c r="X77">
        <v>-0.1232</v>
      </c>
      <c r="Y77">
        <v>2E-3</v>
      </c>
      <c r="Z77">
        <v>-2.5700000000000001E-2</v>
      </c>
      <c r="AA77">
        <v>1E-4</v>
      </c>
      <c r="AB77">
        <v>7.1476126039049098E-2</v>
      </c>
      <c r="AC77">
        <v>-6.0516533423015599E-2</v>
      </c>
      <c r="AD77">
        <v>-0.13199265946206501</v>
      </c>
      <c r="AE77">
        <v>2.1427379782802702E-3</v>
      </c>
      <c r="AF77">
        <v>-2.75341830209015E-2</v>
      </c>
    </row>
    <row r="78" spans="1:32" x14ac:dyDescent="0.2">
      <c r="A78" s="1">
        <v>41090</v>
      </c>
      <c r="B78">
        <v>-4.3573182817362298E-2</v>
      </c>
      <c r="C78">
        <v>5.5537574690978399E-2</v>
      </c>
      <c r="D78">
        <v>2.3306986501098401E-2</v>
      </c>
      <c r="E78">
        <v>2.6831200671669601E-2</v>
      </c>
      <c r="F78">
        <v>3.12314698386498E-2</v>
      </c>
      <c r="G78">
        <v>9.9570250780123395E-2</v>
      </c>
      <c r="H78">
        <v>9.7796414137719806E-2</v>
      </c>
      <c r="I78">
        <v>0.111504305628974</v>
      </c>
      <c r="J78">
        <v>0.106443777311341</v>
      </c>
      <c r="K78">
        <v>0.191868480957545</v>
      </c>
      <c r="L78">
        <v>0.13525002515475501</v>
      </c>
      <c r="M78">
        <v>0.13465171483775501</v>
      </c>
      <c r="N78">
        <v>0.14245852130251499</v>
      </c>
      <c r="O78">
        <v>0.19408141173935101</v>
      </c>
      <c r="P78">
        <v>0.16227394284490201</v>
      </c>
      <c r="Q78">
        <v>0.20340099852677501</v>
      </c>
      <c r="R78">
        <v>7.13</v>
      </c>
      <c r="S78">
        <v>-4.62</v>
      </c>
      <c r="T78">
        <v>3.13</v>
      </c>
      <c r="U78">
        <v>0</v>
      </c>
      <c r="V78">
        <v>0.78988899999999995</v>
      </c>
      <c r="W78">
        <v>-2.3816056157002299E-2</v>
      </c>
      <c r="X78">
        <v>7.1300000000000002E-2</v>
      </c>
      <c r="Y78">
        <v>-4.6199999999999998E-2</v>
      </c>
      <c r="Z78">
        <v>3.1300000000000001E-2</v>
      </c>
      <c r="AA78">
        <v>0</v>
      </c>
      <c r="AB78">
        <v>-2.3816056157002299E-2</v>
      </c>
      <c r="AC78">
        <v>4.5785859039003202E-2</v>
      </c>
      <c r="AD78">
        <v>6.9601915196005601E-2</v>
      </c>
      <c r="AE78">
        <v>-4.5099698205546497E-2</v>
      </c>
      <c r="AF78">
        <v>3.0554557442285801E-2</v>
      </c>
    </row>
    <row r="79" spans="1:32" x14ac:dyDescent="0.2">
      <c r="A79" s="1">
        <v>41121</v>
      </c>
      <c r="B79">
        <v>-3.6641092794461698E-2</v>
      </c>
      <c r="C79">
        <v>3.7392299420656402E-2</v>
      </c>
      <c r="D79">
        <v>5.2627948455626197E-2</v>
      </c>
      <c r="E79">
        <v>2.1539529328864801E-3</v>
      </c>
      <c r="F79">
        <v>3.03021959728371E-2</v>
      </c>
      <c r="G79">
        <v>0.11302891691457</v>
      </c>
      <c r="H79">
        <v>0.11624082759404999</v>
      </c>
      <c r="I79">
        <v>7.4133872654887301E-2</v>
      </c>
      <c r="J79">
        <v>0.110028672039446</v>
      </c>
      <c r="K79">
        <v>0.19996987075060799</v>
      </c>
      <c r="L79">
        <v>0.15373929483173701</v>
      </c>
      <c r="M79">
        <v>0.112410280420443</v>
      </c>
      <c r="N79">
        <v>0.106903235161823</v>
      </c>
      <c r="O79">
        <v>0.18997479229462499</v>
      </c>
      <c r="P79">
        <v>0.154229827732522</v>
      </c>
      <c r="Q79">
        <v>0.17507066354567699</v>
      </c>
      <c r="R79">
        <v>0.56000000000000005</v>
      </c>
      <c r="S79">
        <v>-1.19</v>
      </c>
      <c r="T79">
        <v>-2.58</v>
      </c>
      <c r="U79">
        <v>0</v>
      </c>
      <c r="V79">
        <v>0.81277699999999997</v>
      </c>
      <c r="W79">
        <v>2.8976223241493401E-2</v>
      </c>
      <c r="X79">
        <v>5.5999999999999999E-3</v>
      </c>
      <c r="Y79">
        <v>-1.1900000000000001E-2</v>
      </c>
      <c r="Z79">
        <v>-2.58E-2</v>
      </c>
      <c r="AA79">
        <v>0</v>
      </c>
      <c r="AB79">
        <v>2.8976223241493401E-2</v>
      </c>
      <c r="AC79">
        <v>3.4738490091645903E-2</v>
      </c>
      <c r="AD79">
        <v>5.76226685015246E-3</v>
      </c>
      <c r="AE79">
        <v>-1.2244817056573799E-2</v>
      </c>
      <c r="AF79">
        <v>-2.65475865596305E-2</v>
      </c>
    </row>
    <row r="80" spans="1:32" x14ac:dyDescent="0.2">
      <c r="A80" s="1">
        <v>41152</v>
      </c>
      <c r="B80">
        <v>-3.0650986175291401E-2</v>
      </c>
      <c r="C80">
        <v>8.4253507927737597E-3</v>
      </c>
      <c r="D80">
        <v>8.0408396984272101E-2</v>
      </c>
      <c r="E80">
        <v>-2.6008553001886699E-2</v>
      </c>
      <c r="F80">
        <v>6.1584260410607397E-2</v>
      </c>
      <c r="G80">
        <v>0.109304319228145</v>
      </c>
      <c r="H80">
        <v>0.110418557633781</v>
      </c>
      <c r="I80">
        <v>3.1340628941185597E-2</v>
      </c>
      <c r="J80">
        <v>8.0519762171943704E-2</v>
      </c>
      <c r="K80">
        <v>0.16999433666443101</v>
      </c>
      <c r="L80">
        <v>0.142432262637572</v>
      </c>
      <c r="M80">
        <v>6.7886794524913793E-2</v>
      </c>
      <c r="N80">
        <v>8.8791105621076699E-2</v>
      </c>
      <c r="O80">
        <v>0.16379513847428101</v>
      </c>
      <c r="P80">
        <v>0.14428392953738101</v>
      </c>
      <c r="Q80">
        <v>0.132422538904896</v>
      </c>
      <c r="R80">
        <v>4.5</v>
      </c>
      <c r="S80">
        <v>-0.18</v>
      </c>
      <c r="T80">
        <v>3.19</v>
      </c>
      <c r="U80">
        <v>0.01</v>
      </c>
      <c r="V80">
        <v>0.79510199999999998</v>
      </c>
      <c r="W80">
        <v>-2.1746432293236698E-2</v>
      </c>
      <c r="X80">
        <v>4.4999999999999998E-2</v>
      </c>
      <c r="Y80">
        <v>-1.8E-3</v>
      </c>
      <c r="Z80">
        <v>3.1899999999999998E-2</v>
      </c>
      <c r="AA80">
        <v>1E-4</v>
      </c>
      <c r="AB80">
        <v>-2.1648606936465999E-2</v>
      </c>
      <c r="AC80">
        <v>2.2372803610338301E-2</v>
      </c>
      <c r="AD80">
        <v>4.40214105468043E-2</v>
      </c>
      <c r="AE80">
        <v>-1.7608564218721701E-3</v>
      </c>
      <c r="AF80">
        <v>3.12062888098457E-2</v>
      </c>
    </row>
    <row r="81" spans="1:32" x14ac:dyDescent="0.2">
      <c r="A81" s="1">
        <v>41182</v>
      </c>
      <c r="B81">
        <v>-9.1897580141899592E-3</v>
      </c>
      <c r="C81">
        <v>6.4419493436401101E-3</v>
      </c>
      <c r="D81">
        <v>7.7187559367717498E-2</v>
      </c>
      <c r="E81">
        <v>-2.3642752383617498E-2</v>
      </c>
      <c r="F81">
        <v>5.4731663773151702E-2</v>
      </c>
      <c r="G81">
        <v>9.0739323768832897E-2</v>
      </c>
      <c r="H81">
        <v>9.5418955938783703E-2</v>
      </c>
      <c r="I81">
        <v>1.11747008050251E-2</v>
      </c>
      <c r="J81">
        <v>8.2086136780090802E-2</v>
      </c>
      <c r="K81">
        <v>0.15286224356910899</v>
      </c>
      <c r="L81">
        <v>0.134770606678978</v>
      </c>
      <c r="M81">
        <v>4.5351602383181699E-2</v>
      </c>
      <c r="N81">
        <v>9.6699396026767095E-2</v>
      </c>
      <c r="O81">
        <v>0.14227503146800399</v>
      </c>
      <c r="P81">
        <v>0.12652739669947799</v>
      </c>
      <c r="Q81">
        <v>9.8879436828096301E-2</v>
      </c>
      <c r="R81">
        <v>3.49</v>
      </c>
      <c r="S81">
        <v>1.39</v>
      </c>
      <c r="T81">
        <v>2.16</v>
      </c>
      <c r="U81">
        <v>0.01</v>
      </c>
      <c r="V81">
        <v>0.77769600000000005</v>
      </c>
      <c r="W81">
        <v>-2.1891530897922399E-2</v>
      </c>
      <c r="X81">
        <v>3.49E-2</v>
      </c>
      <c r="Y81">
        <v>1.3899999999999999E-2</v>
      </c>
      <c r="Z81">
        <v>2.1600000000000001E-2</v>
      </c>
      <c r="AA81">
        <v>1E-4</v>
      </c>
      <c r="AB81">
        <v>-2.17937200510122E-2</v>
      </c>
      <c r="AC81">
        <v>1.23422655206502E-2</v>
      </c>
      <c r="AD81">
        <v>3.4135985571662399E-2</v>
      </c>
      <c r="AE81">
        <v>1.35957077205189E-2</v>
      </c>
      <c r="AF81">
        <v>2.1127142932604901E-2</v>
      </c>
    </row>
    <row r="82" spans="1:32" x14ac:dyDescent="0.2">
      <c r="A82" s="1">
        <v>41213</v>
      </c>
      <c r="B82">
        <v>3.7325891512234297E-2</v>
      </c>
      <c r="C82">
        <v>2.1551932964410901E-2</v>
      </c>
      <c r="D82">
        <v>7.8501586396439393E-2</v>
      </c>
      <c r="E82">
        <v>2.2472357662514601E-2</v>
      </c>
      <c r="F82">
        <v>3.9676622351474601E-2</v>
      </c>
      <c r="G82">
        <v>7.0126475210646896E-2</v>
      </c>
      <c r="H82">
        <v>9.2987515752163394E-2</v>
      </c>
      <c r="I82">
        <v>1.87381644795655E-3</v>
      </c>
      <c r="J82">
        <v>4.2382115736374702E-2</v>
      </c>
      <c r="K82">
        <v>0.112603821764144</v>
      </c>
      <c r="L82">
        <v>0.11837491460892</v>
      </c>
      <c r="M82">
        <v>2.64903120703304E-2</v>
      </c>
      <c r="N82">
        <v>7.1463014133913302E-2</v>
      </c>
      <c r="O82">
        <v>9.7328944475627496E-2</v>
      </c>
      <c r="P82">
        <v>0.101071165040492</v>
      </c>
      <c r="Q82">
        <v>5.0894991616460203E-2</v>
      </c>
      <c r="R82">
        <v>1.66</v>
      </c>
      <c r="S82">
        <v>-0.72</v>
      </c>
      <c r="T82">
        <v>1.78</v>
      </c>
      <c r="U82">
        <v>0.01</v>
      </c>
      <c r="V82">
        <v>0.77160499999999999</v>
      </c>
      <c r="W82">
        <v>-7.8321092046250707E-3</v>
      </c>
      <c r="X82">
        <v>1.66E-2</v>
      </c>
      <c r="Y82">
        <v>-7.1999999999999998E-3</v>
      </c>
      <c r="Z82">
        <v>1.78E-2</v>
      </c>
      <c r="AA82">
        <v>1E-4</v>
      </c>
      <c r="AB82">
        <v>-7.7328924155455302E-3</v>
      </c>
      <c r="AC82">
        <v>8.7370945716576092E-3</v>
      </c>
      <c r="AD82">
        <v>1.6469986987203099E-2</v>
      </c>
      <c r="AE82">
        <v>-7.1436088137266998E-3</v>
      </c>
      <c r="AF82">
        <v>1.76605884561577E-2</v>
      </c>
    </row>
    <row r="83" spans="1:32" x14ac:dyDescent="0.2">
      <c r="A83" s="1">
        <v>41243</v>
      </c>
      <c r="B83">
        <v>3.1856621763492798E-2</v>
      </c>
      <c r="C83">
        <v>8.3753032662493999E-3</v>
      </c>
      <c r="D83">
        <v>5.0539204572313E-2</v>
      </c>
      <c r="E83">
        <v>5.4852717118799799E-2</v>
      </c>
      <c r="F83">
        <v>2.96602531887648E-4</v>
      </c>
      <c r="G83">
        <v>4.4417643664639801E-2</v>
      </c>
      <c r="H83">
        <v>4.61588111236561E-2</v>
      </c>
      <c r="I83">
        <v>-3.0917651560612901E-2</v>
      </c>
      <c r="J83">
        <v>1.0496204300619399E-2</v>
      </c>
      <c r="K83">
        <v>4.5231641144674102E-2</v>
      </c>
      <c r="L83">
        <v>5.09824090803681E-2</v>
      </c>
      <c r="M83">
        <v>-1.9219734622957702E-2</v>
      </c>
      <c r="N83">
        <v>1.4179013865762501E-2</v>
      </c>
      <c r="O83">
        <v>2.3343475813506601E-2</v>
      </c>
      <c r="P83">
        <v>2.9586511917811899E-2</v>
      </c>
      <c r="Q83">
        <v>-3.3965654515331401E-3</v>
      </c>
      <c r="R83">
        <v>2.27</v>
      </c>
      <c r="S83">
        <v>-2.48</v>
      </c>
      <c r="T83">
        <v>-0.57999999999999996</v>
      </c>
      <c r="U83">
        <v>0.01</v>
      </c>
      <c r="V83">
        <v>0.77009000000000005</v>
      </c>
      <c r="W83">
        <v>-1.9634398429246901E-3</v>
      </c>
      <c r="X83">
        <v>2.2700000000000001E-2</v>
      </c>
      <c r="Y83">
        <v>-2.4799999999999999E-2</v>
      </c>
      <c r="Z83">
        <v>-5.7999999999999996E-3</v>
      </c>
      <c r="AA83">
        <v>1E-4</v>
      </c>
      <c r="AB83">
        <v>-1.8636361869089899E-3</v>
      </c>
      <c r="AC83">
        <v>2.07917937286566E-2</v>
      </c>
      <c r="AD83">
        <v>2.26554299155656E-2</v>
      </c>
      <c r="AE83">
        <v>-2.47513066918955E-2</v>
      </c>
      <c r="AF83">
        <v>-5.7886120489110404E-3</v>
      </c>
    </row>
    <row r="84" spans="1:32" x14ac:dyDescent="0.2">
      <c r="A84" s="1">
        <v>41274</v>
      </c>
      <c r="B84">
        <v>2.30311314002062E-3</v>
      </c>
      <c r="C84">
        <v>-3.3927325028183297E-2</v>
      </c>
      <c r="D84">
        <v>3.6868392149880598E-3</v>
      </c>
      <c r="E84">
        <v>3.3304043200502703E-2</v>
      </c>
      <c r="F84">
        <v>-3.33972395740776E-2</v>
      </c>
      <c r="G84">
        <v>-2.5265183114191601E-2</v>
      </c>
      <c r="H84">
        <v>-2.5192437459943699E-2</v>
      </c>
      <c r="I84">
        <v>-7.1306568193756095E-2</v>
      </c>
      <c r="J84">
        <v>-2.2624455076411702E-2</v>
      </c>
      <c r="K84">
        <v>-1.7646818553163201E-2</v>
      </c>
      <c r="L84">
        <v>-1.3796975551001499E-2</v>
      </c>
      <c r="M84">
        <v>-5.75986004192688E-2</v>
      </c>
      <c r="N84">
        <v>-2.66176617867122E-2</v>
      </c>
      <c r="O84">
        <v>-3.6729034590009001E-2</v>
      </c>
      <c r="P84">
        <v>-4.2644035928321999E-2</v>
      </c>
      <c r="Q84">
        <v>-5.9274753403222601E-2</v>
      </c>
      <c r="R84">
        <v>3.38</v>
      </c>
      <c r="S84">
        <v>2.31</v>
      </c>
      <c r="T84">
        <v>3.03</v>
      </c>
      <c r="U84">
        <v>0.01</v>
      </c>
      <c r="V84">
        <v>0.75777700000000003</v>
      </c>
      <c r="W84">
        <v>-1.5989040242049599E-2</v>
      </c>
      <c r="X84">
        <v>3.3799999999999997E-2</v>
      </c>
      <c r="Y84">
        <v>2.3099999999999999E-2</v>
      </c>
      <c r="Z84">
        <v>3.0300000000000001E-2</v>
      </c>
      <c r="AA84">
        <v>1E-4</v>
      </c>
      <c r="AB84">
        <v>-1.58906391460738E-2</v>
      </c>
      <c r="AC84">
        <v>1.73689312937448E-2</v>
      </c>
      <c r="AD84">
        <v>3.32595704398186E-2</v>
      </c>
      <c r="AE84">
        <v>2.2730653170408701E-2</v>
      </c>
      <c r="AF84">
        <v>2.98155320806659E-2</v>
      </c>
    </row>
    <row r="85" spans="1:32" x14ac:dyDescent="0.2">
      <c r="A85" s="1">
        <v>41305</v>
      </c>
      <c r="B85">
        <v>-2.85726589964093E-2</v>
      </c>
      <c r="C85">
        <v>-5.8053943972758898E-2</v>
      </c>
      <c r="D85">
        <v>-3.1767702837821599E-2</v>
      </c>
      <c r="E85">
        <v>-1.03668759808426E-3</v>
      </c>
      <c r="F85">
        <v>-3.2833960995992E-2</v>
      </c>
      <c r="G85">
        <v>-6.2285736651439098E-2</v>
      </c>
      <c r="H85">
        <v>-7.9655306820015898E-2</v>
      </c>
      <c r="I85">
        <v>-8.4887811058262597E-2</v>
      </c>
      <c r="J85">
        <v>3.9780657759838399E-3</v>
      </c>
      <c r="K85">
        <v>-4.2424503448279798E-2</v>
      </c>
      <c r="L85">
        <v>-6.8200865949467199E-2</v>
      </c>
      <c r="M85">
        <v>-7.4560410038168698E-2</v>
      </c>
      <c r="N85">
        <v>-2.33635558616445E-2</v>
      </c>
      <c r="O85">
        <v>-7.0132940036831501E-2</v>
      </c>
      <c r="P85">
        <v>-0.11695597641309401</v>
      </c>
      <c r="Q85">
        <v>-9.4010819263989701E-2</v>
      </c>
      <c r="R85">
        <v>6.2</v>
      </c>
      <c r="S85">
        <v>0.39</v>
      </c>
      <c r="T85">
        <v>4.33</v>
      </c>
      <c r="U85">
        <v>0</v>
      </c>
      <c r="V85">
        <v>0.73643099999999995</v>
      </c>
      <c r="W85">
        <v>-2.81692371238506E-2</v>
      </c>
      <c r="X85">
        <v>6.2E-2</v>
      </c>
      <c r="Y85">
        <v>3.8999999999999998E-3</v>
      </c>
      <c r="Z85">
        <v>4.3299999999999998E-2</v>
      </c>
      <c r="AA85">
        <v>0</v>
      </c>
      <c r="AB85">
        <v>-2.81692371238506E-2</v>
      </c>
      <c r="AC85">
        <v>3.2084270174470797E-2</v>
      </c>
      <c r="AD85">
        <v>6.02535072983214E-2</v>
      </c>
      <c r="AE85">
        <v>3.7901399752169802E-3</v>
      </c>
      <c r="AF85">
        <v>4.2080272032537301E-2</v>
      </c>
    </row>
    <row r="86" spans="1:32" x14ac:dyDescent="0.2">
      <c r="A86" s="1">
        <v>41333</v>
      </c>
      <c r="B86">
        <v>-1.25176904876082E-2</v>
      </c>
      <c r="C86">
        <v>-8.9838948979688804E-2</v>
      </c>
      <c r="D86">
        <v>-4.2066755946569702E-2</v>
      </c>
      <c r="E86">
        <v>-3.3543929895038502E-2</v>
      </c>
      <c r="F86">
        <v>-3.1929740596375197E-2</v>
      </c>
      <c r="G86">
        <v>-8.6828620300143294E-2</v>
      </c>
      <c r="H86">
        <v>-8.1765681926973796E-2</v>
      </c>
      <c r="I86">
        <v>-8.35923076491943E-2</v>
      </c>
      <c r="J86">
        <v>2.17899702269343E-2</v>
      </c>
      <c r="K86">
        <v>-7.6057792511773303E-2</v>
      </c>
      <c r="L86">
        <v>-0.110083169604756</v>
      </c>
      <c r="M86">
        <v>-0.101509561069086</v>
      </c>
      <c r="N86">
        <v>-3.7501015642589099E-2</v>
      </c>
      <c r="O86">
        <v>-0.13032107498055601</v>
      </c>
      <c r="P86">
        <v>-0.18745895256570799</v>
      </c>
      <c r="Q86">
        <v>-0.149024272199521</v>
      </c>
      <c r="R86">
        <v>-2.4900000000000002</v>
      </c>
      <c r="S86">
        <v>2.0499999999999998</v>
      </c>
      <c r="T86">
        <v>-3.35</v>
      </c>
      <c r="U86">
        <v>0</v>
      </c>
      <c r="V86">
        <v>0.76590199999999997</v>
      </c>
      <c r="W86">
        <v>4.0018684710448199E-2</v>
      </c>
      <c r="X86">
        <v>-2.4899999999999999E-2</v>
      </c>
      <c r="Y86">
        <v>2.0500000000000001E-2</v>
      </c>
      <c r="Z86">
        <v>-3.3500000000000002E-2</v>
      </c>
      <c r="AA86">
        <v>0</v>
      </c>
      <c r="AB86">
        <v>4.0018684710448199E-2</v>
      </c>
      <c r="AC86">
        <v>1.41222194611581E-2</v>
      </c>
      <c r="AD86">
        <v>-2.5896465249290099E-2</v>
      </c>
      <c r="AE86">
        <v>2.1320383036564201E-2</v>
      </c>
      <c r="AF86">
        <v>-3.4840625937799997E-2</v>
      </c>
    </row>
    <row r="87" spans="1:32" x14ac:dyDescent="0.2">
      <c r="A87" s="1">
        <v>41364</v>
      </c>
      <c r="B87">
        <v>4.4101174144070103E-2</v>
      </c>
      <c r="C87">
        <v>-6.8639772768367496E-2</v>
      </c>
      <c r="D87">
        <v>3.9408899126169798E-3</v>
      </c>
      <c r="E87">
        <v>5.8006346072134504E-3</v>
      </c>
      <c r="F87">
        <v>-3.70463506170964E-2</v>
      </c>
      <c r="G87">
        <v>-0.111715844141376</v>
      </c>
      <c r="H87">
        <v>-8.87989686356047E-2</v>
      </c>
      <c r="I87">
        <v>-0.10571351426562001</v>
      </c>
      <c r="J87">
        <v>-2.2035276381769602E-2</v>
      </c>
      <c r="K87">
        <v>-0.13536874815076799</v>
      </c>
      <c r="L87">
        <v>-0.15119784916562301</v>
      </c>
      <c r="M87">
        <v>-0.148597603721046</v>
      </c>
      <c r="N87">
        <v>-7.8935847775345194E-2</v>
      </c>
      <c r="O87">
        <v>-0.19476780748540001</v>
      </c>
      <c r="P87">
        <v>-0.22550028061694299</v>
      </c>
      <c r="Q87">
        <v>-0.20138437011537599</v>
      </c>
      <c r="R87">
        <v>-0.54</v>
      </c>
      <c r="S87">
        <v>-0.46</v>
      </c>
      <c r="T87">
        <v>-4.3</v>
      </c>
      <c r="U87">
        <v>0</v>
      </c>
      <c r="V87">
        <v>0.78000100000000006</v>
      </c>
      <c r="W87">
        <v>1.8408360338528999E-2</v>
      </c>
      <c r="X87">
        <v>-5.4000000000000003E-3</v>
      </c>
      <c r="Y87">
        <v>-4.5999999999999999E-3</v>
      </c>
      <c r="Z87">
        <v>-4.2999999999999997E-2</v>
      </c>
      <c r="AA87">
        <v>0</v>
      </c>
      <c r="AB87">
        <v>1.8408360338528999E-2</v>
      </c>
      <c r="AC87">
        <v>1.29089551927011E-2</v>
      </c>
      <c r="AD87">
        <v>-5.4994051458279198E-3</v>
      </c>
      <c r="AE87">
        <v>-4.6846784575572302E-3</v>
      </c>
      <c r="AF87">
        <v>-4.3791559494556702E-2</v>
      </c>
    </row>
    <row r="88" spans="1:32" x14ac:dyDescent="0.2">
      <c r="A88" s="1">
        <v>41394</v>
      </c>
      <c r="B88">
        <v>8.8937231109316395E-2</v>
      </c>
      <c r="C88">
        <v>-5.1391485476649797E-2</v>
      </c>
      <c r="D88">
        <v>3.7034302115158901E-2</v>
      </c>
      <c r="E88">
        <v>4.5671022271403502E-2</v>
      </c>
      <c r="F88">
        <v>-4.2255530089676703E-2</v>
      </c>
      <c r="G88">
        <v>-0.11310145121939599</v>
      </c>
      <c r="H88">
        <v>-7.7411392995342596E-2</v>
      </c>
      <c r="I88">
        <v>-0.110583017621619</v>
      </c>
      <c r="J88">
        <v>-3.1763259889405697E-2</v>
      </c>
      <c r="K88">
        <v>-0.107129199295342</v>
      </c>
      <c r="L88">
        <v>-0.117184506042583</v>
      </c>
      <c r="M88">
        <v>-0.13044695088135</v>
      </c>
      <c r="N88">
        <v>-0.10963498972839</v>
      </c>
      <c r="O88">
        <v>-0.24038238947026999</v>
      </c>
      <c r="P88">
        <v>-0.25810896371813802</v>
      </c>
      <c r="Q88">
        <v>-0.257128513412967</v>
      </c>
      <c r="R88">
        <v>4.16</v>
      </c>
      <c r="S88">
        <v>-1.66</v>
      </c>
      <c r="T88">
        <v>3.67</v>
      </c>
      <c r="U88">
        <v>0</v>
      </c>
      <c r="V88">
        <v>0.75947399999999998</v>
      </c>
      <c r="W88">
        <v>-2.63166329273937E-2</v>
      </c>
      <c r="X88">
        <v>4.1599999999999998E-2</v>
      </c>
      <c r="Y88">
        <v>-1.66E-2</v>
      </c>
      <c r="Z88">
        <v>3.6700000000000003E-2</v>
      </c>
      <c r="AA88">
        <v>0</v>
      </c>
      <c r="AB88">
        <v>-2.63166329273937E-2</v>
      </c>
      <c r="AC88">
        <v>1.41885951428267E-2</v>
      </c>
      <c r="AD88">
        <v>4.0505228070220403E-2</v>
      </c>
      <c r="AE88">
        <v>-1.6163143893405299E-2</v>
      </c>
      <c r="AF88">
        <v>3.5734179571564599E-2</v>
      </c>
    </row>
    <row r="89" spans="1:32" x14ac:dyDescent="0.2">
      <c r="A89" s="1">
        <v>41425</v>
      </c>
      <c r="B89">
        <v>0.14276728162809399</v>
      </c>
      <c r="C89">
        <v>-2.9943349825717002E-3</v>
      </c>
      <c r="D89">
        <v>5.4607142687971601E-2</v>
      </c>
      <c r="E89">
        <v>8.7222943264034195E-2</v>
      </c>
      <c r="F89">
        <v>1.7815941175819899E-2</v>
      </c>
      <c r="G89">
        <v>-5.5041224582406498E-2</v>
      </c>
      <c r="H89">
        <v>-3.86213316287971E-2</v>
      </c>
      <c r="I89">
        <v>-6.5929203545524895E-2</v>
      </c>
      <c r="J89">
        <v>-9.2371095685179292E-3</v>
      </c>
      <c r="K89">
        <v>-4.6387976843323298E-2</v>
      </c>
      <c r="L89">
        <v>-7.5447657371786797E-2</v>
      </c>
      <c r="M89">
        <v>-0.107842234730955</v>
      </c>
      <c r="N89">
        <v>-8.0409693518953704E-2</v>
      </c>
      <c r="O89">
        <v>-0.21707651914117301</v>
      </c>
      <c r="P89">
        <v>-0.25728570611340901</v>
      </c>
      <c r="Q89">
        <v>-0.272284926591288</v>
      </c>
      <c r="R89">
        <v>1.05</v>
      </c>
      <c r="S89">
        <v>1.07</v>
      </c>
      <c r="T89">
        <v>2.82</v>
      </c>
      <c r="U89">
        <v>0</v>
      </c>
      <c r="V89">
        <v>0.76929000000000003</v>
      </c>
      <c r="W89">
        <v>1.29247347506301E-2</v>
      </c>
      <c r="X89">
        <v>1.0500000000000001E-2</v>
      </c>
      <c r="Y89">
        <v>1.0699999999999999E-2</v>
      </c>
      <c r="Z89">
        <v>2.8199999999999999E-2</v>
      </c>
      <c r="AA89">
        <v>0</v>
      </c>
      <c r="AB89">
        <v>1.29247347506301E-2</v>
      </c>
      <c r="AC89">
        <v>2.3560444465511501E-2</v>
      </c>
      <c r="AD89">
        <v>1.06357097148815E-2</v>
      </c>
      <c r="AE89">
        <v>1.0838294661831701E-2</v>
      </c>
      <c r="AF89">
        <v>2.8564477519967799E-2</v>
      </c>
    </row>
    <row r="90" spans="1:32" x14ac:dyDescent="0.2">
      <c r="A90" s="1">
        <v>41455</v>
      </c>
      <c r="B90">
        <v>9.7782096681712505E-2</v>
      </c>
      <c r="C90">
        <v>5.5626639972673697E-2</v>
      </c>
      <c r="D90">
        <v>8.1841685370850598E-2</v>
      </c>
      <c r="E90">
        <v>0.1197003345281</v>
      </c>
      <c r="F90">
        <v>5.6894568446888699E-2</v>
      </c>
      <c r="G90">
        <v>3.06370000265247E-2</v>
      </c>
      <c r="H90">
        <v>8.1524647511869303E-3</v>
      </c>
      <c r="I90">
        <v>-2.6203423437362899E-2</v>
      </c>
      <c r="J90">
        <v>3.9506602607856198E-2</v>
      </c>
      <c r="K90">
        <v>1.7972972869904499E-2</v>
      </c>
      <c r="L90">
        <v>-4.3195896314759501E-2</v>
      </c>
      <c r="M90">
        <v>-8.0229371168302005E-2</v>
      </c>
      <c r="N90">
        <v>-3.38825301451465E-2</v>
      </c>
      <c r="O90">
        <v>-0.15026186010701201</v>
      </c>
      <c r="P90">
        <v>-0.23334000987745099</v>
      </c>
      <c r="Q90">
        <v>-0.244621934903205</v>
      </c>
      <c r="R90">
        <v>-4.6399999999999997</v>
      </c>
      <c r="S90">
        <v>2.2999999999999998</v>
      </c>
      <c r="T90">
        <v>-2.56</v>
      </c>
      <c r="U90">
        <v>0</v>
      </c>
      <c r="V90">
        <v>0.76863999999999999</v>
      </c>
      <c r="W90">
        <v>-8.4493494000970103E-4</v>
      </c>
      <c r="X90">
        <v>-4.6399999999999997E-2</v>
      </c>
      <c r="Y90">
        <v>2.3E-2</v>
      </c>
      <c r="Z90">
        <v>-2.5600000000000001E-2</v>
      </c>
      <c r="AA90">
        <v>0</v>
      </c>
      <c r="AB90">
        <v>-8.4493494000970103E-4</v>
      </c>
      <c r="AC90">
        <v>-4.7205729958793199E-2</v>
      </c>
      <c r="AD90">
        <v>-4.6360795018783499E-2</v>
      </c>
      <c r="AE90">
        <v>2.2980566496379799E-2</v>
      </c>
      <c r="AF90">
        <v>-2.55783696655358E-2</v>
      </c>
    </row>
    <row r="91" spans="1:32" x14ac:dyDescent="0.2">
      <c r="A91" s="1">
        <v>41486</v>
      </c>
      <c r="B91">
        <v>8.0301338308603198E-2</v>
      </c>
      <c r="C91">
        <v>0.122981257971658</v>
      </c>
      <c r="D91">
        <v>9.5529124237568597E-2</v>
      </c>
      <c r="E91">
        <v>0.151982101896636</v>
      </c>
      <c r="F91">
        <v>8.8527151495891104E-2</v>
      </c>
      <c r="G91">
        <v>9.0084169247463805E-2</v>
      </c>
      <c r="H91">
        <v>3.7972420748869702E-2</v>
      </c>
      <c r="I91">
        <v>9.7647184997924404E-3</v>
      </c>
      <c r="J91">
        <v>6.5946801738978697E-2</v>
      </c>
      <c r="K91">
        <v>7.5348732477579505E-2</v>
      </c>
      <c r="L91">
        <v>7.5429463337789802E-3</v>
      </c>
      <c r="M91">
        <v>-3.5154899739836099E-2</v>
      </c>
      <c r="N91">
        <v>1.4763371604455599E-2</v>
      </c>
      <c r="O91">
        <v>-7.9493058676053205E-2</v>
      </c>
      <c r="P91">
        <v>-0.17760734390362701</v>
      </c>
      <c r="Q91">
        <v>-0.209260577092863</v>
      </c>
      <c r="R91">
        <v>7.45</v>
      </c>
      <c r="S91">
        <v>-1.63</v>
      </c>
      <c r="T91">
        <v>2.8</v>
      </c>
      <c r="U91">
        <v>0</v>
      </c>
      <c r="V91">
        <v>0.75173800000000002</v>
      </c>
      <c r="W91">
        <v>-2.19894879267277E-2</v>
      </c>
      <c r="X91">
        <v>7.4499999999999997E-2</v>
      </c>
      <c r="Y91">
        <v>-1.6299999999999999E-2</v>
      </c>
      <c r="Z91">
        <v>2.8000000000000001E-2</v>
      </c>
      <c r="AA91">
        <v>0</v>
      </c>
      <c r="AB91">
        <v>-2.19894879267277E-2</v>
      </c>
      <c r="AC91">
        <v>5.0872295222731199E-2</v>
      </c>
      <c r="AD91">
        <v>7.2861783149458903E-2</v>
      </c>
      <c r="AE91">
        <v>-1.59415713467943E-2</v>
      </c>
      <c r="AF91">
        <v>2.7384294338051601E-2</v>
      </c>
    </row>
    <row r="92" spans="1:32" x14ac:dyDescent="0.2">
      <c r="A92" s="1">
        <v>41517</v>
      </c>
      <c r="B92">
        <v>6.3177892104884004E-2</v>
      </c>
      <c r="C92">
        <v>0.17394018738601599</v>
      </c>
      <c r="D92">
        <v>9.8980353132209806E-2</v>
      </c>
      <c r="E92">
        <v>0.16685594838849599</v>
      </c>
      <c r="F92">
        <v>7.1364913130442506E-2</v>
      </c>
      <c r="G92">
        <v>0.11663014680931599</v>
      </c>
      <c r="H92">
        <v>7.0325000037583393E-2</v>
      </c>
      <c r="I92">
        <v>3.0053193741803801E-2</v>
      </c>
      <c r="J92">
        <v>8.0510216466157997E-2</v>
      </c>
      <c r="K92">
        <v>0.12696277779535101</v>
      </c>
      <c r="L92">
        <v>5.94664045109956E-2</v>
      </c>
      <c r="M92">
        <v>-6.94333080742864E-4</v>
      </c>
      <c r="N92">
        <v>7.3295313454189298E-2</v>
      </c>
      <c r="O92">
        <v>5.83668399905953E-3</v>
      </c>
      <c r="P92">
        <v>-0.106075964167613</v>
      </c>
      <c r="Q92">
        <v>-0.16500008175331199</v>
      </c>
      <c r="R92">
        <v>-0.7</v>
      </c>
      <c r="S92">
        <v>2.77</v>
      </c>
      <c r="T92">
        <v>0.51</v>
      </c>
      <c r="U92">
        <v>0</v>
      </c>
      <c r="V92">
        <v>0.75628700000000004</v>
      </c>
      <c r="W92">
        <v>6.0513104299637598E-3</v>
      </c>
      <c r="X92">
        <v>-7.0000000000000001E-3</v>
      </c>
      <c r="Y92">
        <v>2.7699999999999999E-2</v>
      </c>
      <c r="Z92">
        <v>5.1000000000000004E-3</v>
      </c>
      <c r="AA92">
        <v>0</v>
      </c>
      <c r="AB92">
        <v>6.0513104299637598E-3</v>
      </c>
      <c r="AC92">
        <v>-9.9104874304600798E-4</v>
      </c>
      <c r="AD92">
        <v>-7.0423591730097703E-3</v>
      </c>
      <c r="AE92">
        <v>2.786762129891E-2</v>
      </c>
      <c r="AF92">
        <v>5.1308616831928196E-3</v>
      </c>
    </row>
    <row r="93" spans="1:32" x14ac:dyDescent="0.2">
      <c r="A93" s="1">
        <v>41547</v>
      </c>
      <c r="B93">
        <v>0.111971523675043</v>
      </c>
      <c r="C93">
        <v>0.17070379339147701</v>
      </c>
      <c r="D93">
        <v>0.15330816766745101</v>
      </c>
      <c r="E93">
        <v>0.17977567035459899</v>
      </c>
      <c r="F93">
        <v>0.105708368234598</v>
      </c>
      <c r="G93">
        <v>0.17912158791874699</v>
      </c>
      <c r="H93">
        <v>0.14545107403250401</v>
      </c>
      <c r="I93">
        <v>5.8467140948167802E-2</v>
      </c>
      <c r="J93">
        <v>0.124713701942316</v>
      </c>
      <c r="K93">
        <v>0.20985226869375101</v>
      </c>
      <c r="L93">
        <v>0.13193093446431001</v>
      </c>
      <c r="M93">
        <v>2.8688364215331899E-2</v>
      </c>
      <c r="N93">
        <v>0.16743923047481599</v>
      </c>
      <c r="O93">
        <v>0.12456340897822001</v>
      </c>
      <c r="P93">
        <v>-9.4175470307479407E-3</v>
      </c>
      <c r="Q93">
        <v>-0.12776562200201499</v>
      </c>
      <c r="R93">
        <v>7.05</v>
      </c>
      <c r="S93">
        <v>0.18</v>
      </c>
      <c r="T93">
        <v>1.38</v>
      </c>
      <c r="U93">
        <v>0</v>
      </c>
      <c r="V93">
        <v>0.739317</v>
      </c>
      <c r="W93">
        <v>-2.2438571600463902E-2</v>
      </c>
      <c r="X93">
        <v>7.0499999999999993E-2</v>
      </c>
      <c r="Y93">
        <v>1.8E-3</v>
      </c>
      <c r="Z93">
        <v>1.38E-2</v>
      </c>
      <c r="AA93">
        <v>0</v>
      </c>
      <c r="AB93">
        <v>-2.2438571600463902E-2</v>
      </c>
      <c r="AC93">
        <v>4.6479509101703398E-2</v>
      </c>
      <c r="AD93">
        <v>6.8918080702167303E-2</v>
      </c>
      <c r="AE93">
        <v>1.75961057111916E-3</v>
      </c>
      <c r="AF93">
        <v>1.3490347711913601E-2</v>
      </c>
    </row>
    <row r="94" spans="1:32" x14ac:dyDescent="0.2">
      <c r="A94" s="1">
        <v>41578</v>
      </c>
      <c r="B94">
        <v>0.11228424876882601</v>
      </c>
      <c r="C94">
        <v>0.14700997640885999</v>
      </c>
      <c r="D94">
        <v>0.20570947116260299</v>
      </c>
      <c r="E94">
        <v>0.173459959968147</v>
      </c>
      <c r="F94">
        <v>0.114502396411788</v>
      </c>
      <c r="G94">
        <v>0.19242430955010101</v>
      </c>
      <c r="H94">
        <v>0.198969973306689</v>
      </c>
      <c r="I94">
        <v>9.2928223160164802E-2</v>
      </c>
      <c r="J94">
        <v>0.12972598425623699</v>
      </c>
      <c r="K94">
        <v>0.21092283051775901</v>
      </c>
      <c r="L94">
        <v>0.18595820050517001</v>
      </c>
      <c r="M94">
        <v>6.7570331017441101E-2</v>
      </c>
      <c r="N94">
        <v>0.19295253382185601</v>
      </c>
      <c r="O94">
        <v>0.203085323526424</v>
      </c>
      <c r="P94">
        <v>6.3329416343071696E-2</v>
      </c>
      <c r="Q94">
        <v>-8.4193641744409006E-2</v>
      </c>
      <c r="R94">
        <v>4.49</v>
      </c>
      <c r="S94">
        <v>-0.18</v>
      </c>
      <c r="T94">
        <v>4.3899999999999997</v>
      </c>
      <c r="U94">
        <v>0</v>
      </c>
      <c r="V94">
        <v>0.73613300000000004</v>
      </c>
      <c r="W94">
        <v>-4.3066776497766596E-3</v>
      </c>
      <c r="X94">
        <v>4.4900000000000002E-2</v>
      </c>
      <c r="Y94">
        <v>-1.8E-3</v>
      </c>
      <c r="Z94">
        <v>4.3900000000000002E-2</v>
      </c>
      <c r="AA94">
        <v>0</v>
      </c>
      <c r="AB94">
        <v>-4.3066776497766596E-3</v>
      </c>
      <c r="AC94">
        <v>4.0399952523748402E-2</v>
      </c>
      <c r="AD94">
        <v>4.4706630173524997E-2</v>
      </c>
      <c r="AE94">
        <v>-1.7922479802304E-3</v>
      </c>
      <c r="AF94">
        <v>4.3710936851174803E-2</v>
      </c>
    </row>
    <row r="95" spans="1:32" x14ac:dyDescent="0.2">
      <c r="A95" s="1">
        <v>41608</v>
      </c>
      <c r="B95">
        <v>9.7407737365063807E-2</v>
      </c>
      <c r="C95">
        <v>0.121607687678919</v>
      </c>
      <c r="D95">
        <v>0.23898773379987201</v>
      </c>
      <c r="E95">
        <v>0.18119662739957401</v>
      </c>
      <c r="F95">
        <v>8.4421620905537703E-2</v>
      </c>
      <c r="G95">
        <v>0.13661556845431799</v>
      </c>
      <c r="H95">
        <v>0.19686626692718001</v>
      </c>
      <c r="I95">
        <v>0.13272135099374199</v>
      </c>
      <c r="J95">
        <v>9.3107959460225306E-2</v>
      </c>
      <c r="K95">
        <v>0.171427735573777</v>
      </c>
      <c r="L95">
        <v>0.21026789462902201</v>
      </c>
      <c r="M95">
        <v>0.123336330151863</v>
      </c>
      <c r="N95">
        <v>0.16593907039344499</v>
      </c>
      <c r="O95">
        <v>0.22283430557130299</v>
      </c>
      <c r="P95">
        <v>0.13054508874576901</v>
      </c>
      <c r="Q95">
        <v>-1.8629585618451801E-2</v>
      </c>
      <c r="R95">
        <v>1.33</v>
      </c>
      <c r="S95">
        <v>0.87</v>
      </c>
      <c r="T95">
        <v>-0.42</v>
      </c>
      <c r="U95">
        <v>0</v>
      </c>
      <c r="V95">
        <v>0.73580800000000002</v>
      </c>
      <c r="W95">
        <v>-4.4149630569478799E-4</v>
      </c>
      <c r="X95">
        <v>1.3299999999999999E-2</v>
      </c>
      <c r="Y95">
        <v>8.6999999999999994E-3</v>
      </c>
      <c r="Z95">
        <v>-4.1999999999999997E-3</v>
      </c>
      <c r="AA95">
        <v>0</v>
      </c>
      <c r="AB95">
        <v>-4.4149630569478799E-4</v>
      </c>
      <c r="AC95">
        <v>1.2852631793439699E-2</v>
      </c>
      <c r="AD95">
        <v>1.3294128099134399E-2</v>
      </c>
      <c r="AE95">
        <v>8.6961589821404495E-3</v>
      </c>
      <c r="AF95">
        <v>-4.1981457155160799E-3</v>
      </c>
    </row>
    <row r="96" spans="1:32" x14ac:dyDescent="0.2">
      <c r="A96" s="1">
        <v>41639</v>
      </c>
      <c r="B96">
        <v>6.1766683010513503E-2</v>
      </c>
      <c r="C96">
        <v>0.124206282285445</v>
      </c>
      <c r="D96">
        <v>0.21408092421432301</v>
      </c>
      <c r="E96">
        <v>0.232318773492316</v>
      </c>
      <c r="F96">
        <v>5.11680952408297E-2</v>
      </c>
      <c r="G96">
        <v>0.120237626796849</v>
      </c>
      <c r="H96">
        <v>0.20875433873295501</v>
      </c>
      <c r="I96">
        <v>0.185849331119221</v>
      </c>
      <c r="J96">
        <v>0.105773020596676</v>
      </c>
      <c r="K96">
        <v>0.17573153696935501</v>
      </c>
      <c r="L96">
        <v>0.25935624402058799</v>
      </c>
      <c r="M96">
        <v>0.19103181561986299</v>
      </c>
      <c r="N96">
        <v>0.114060130352525</v>
      </c>
      <c r="O96">
        <v>0.216659907676543</v>
      </c>
      <c r="P96">
        <v>0.17364234212933999</v>
      </c>
      <c r="Q96">
        <v>4.2224087341742801E-2</v>
      </c>
      <c r="R96">
        <v>2.37</v>
      </c>
      <c r="S96">
        <v>0.54</v>
      </c>
      <c r="T96">
        <v>-0.2</v>
      </c>
      <c r="U96">
        <v>0</v>
      </c>
      <c r="V96">
        <v>0.72748400000000002</v>
      </c>
      <c r="W96">
        <v>-1.1312733756632099E-2</v>
      </c>
      <c r="X96">
        <v>2.3699999999999999E-2</v>
      </c>
      <c r="Y96">
        <v>5.4000000000000003E-3</v>
      </c>
      <c r="Z96">
        <v>-2E-3</v>
      </c>
      <c r="AA96">
        <v>0</v>
      </c>
      <c r="AB96">
        <v>-1.1312733756632099E-2</v>
      </c>
      <c r="AC96">
        <v>1.2119154453335701E-2</v>
      </c>
      <c r="AD96">
        <v>2.3431888209967802E-2</v>
      </c>
      <c r="AE96">
        <v>5.3389112377141903E-3</v>
      </c>
      <c r="AF96">
        <v>-1.9773745324867401E-3</v>
      </c>
    </row>
    <row r="97" spans="1:32" x14ac:dyDescent="0.2">
      <c r="A97" s="1">
        <v>41670</v>
      </c>
      <c r="B97">
        <v>9.0219639995872299E-3</v>
      </c>
      <c r="C97">
        <v>9.4450649331124306E-2</v>
      </c>
      <c r="D97">
        <v>0.19391489742146201</v>
      </c>
      <c r="E97">
        <v>0.27351342929169598</v>
      </c>
      <c r="F97">
        <v>1.1754422347992699E-2</v>
      </c>
      <c r="G97">
        <v>0.108740118786086</v>
      </c>
      <c r="H97">
        <v>0.212316964304853</v>
      </c>
      <c r="I97">
        <v>0.22486091119817</v>
      </c>
      <c r="J97">
        <v>6.3829614325422293E-2</v>
      </c>
      <c r="K97">
        <v>0.14616663091711901</v>
      </c>
      <c r="L97">
        <v>0.22817025251130901</v>
      </c>
      <c r="M97">
        <v>0.21598873421790801</v>
      </c>
      <c r="N97">
        <v>8.0935960131135895E-2</v>
      </c>
      <c r="O97">
        <v>0.185676736518533</v>
      </c>
      <c r="P97">
        <v>0.194433546067378</v>
      </c>
      <c r="Q97">
        <v>7.5550951312907996E-2</v>
      </c>
      <c r="R97">
        <v>-3.03</v>
      </c>
      <c r="S97">
        <v>3.57</v>
      </c>
      <c r="T97">
        <v>2.58</v>
      </c>
      <c r="U97">
        <v>0</v>
      </c>
      <c r="V97">
        <v>0.74145499999999998</v>
      </c>
      <c r="W97">
        <v>1.9204546079364001E-2</v>
      </c>
      <c r="X97">
        <v>-3.0300000000000001E-2</v>
      </c>
      <c r="Y97">
        <v>3.5700000000000003E-2</v>
      </c>
      <c r="Z97">
        <v>2.58E-2</v>
      </c>
      <c r="AA97">
        <v>0</v>
      </c>
      <c r="AB97">
        <v>1.9204546079364001E-2</v>
      </c>
      <c r="AC97">
        <v>-1.16773516668408E-2</v>
      </c>
      <c r="AD97">
        <v>-3.0881897746204801E-2</v>
      </c>
      <c r="AE97">
        <v>3.6385602295033299E-2</v>
      </c>
      <c r="AF97">
        <v>2.62954772888476E-2</v>
      </c>
    </row>
    <row r="98" spans="1:32" x14ac:dyDescent="0.2">
      <c r="A98" s="1">
        <v>41698</v>
      </c>
      <c r="B98">
        <v>-2.5039325728006299E-2</v>
      </c>
      <c r="C98">
        <v>8.5437010241404807E-2</v>
      </c>
      <c r="D98">
        <v>0.18779130196659999</v>
      </c>
      <c r="E98">
        <v>0.30483507765088502</v>
      </c>
      <c r="F98">
        <v>-1.53032823381634E-2</v>
      </c>
      <c r="G98">
        <v>0.108133436535052</v>
      </c>
      <c r="H98">
        <v>0.194305256849584</v>
      </c>
      <c r="I98">
        <v>0.22722563919026401</v>
      </c>
      <c r="J98">
        <v>3.4371450293830402E-2</v>
      </c>
      <c r="K98">
        <v>0.13173095930346901</v>
      </c>
      <c r="L98">
        <v>0.20541292245349099</v>
      </c>
      <c r="M98">
        <v>0.22899275874245401</v>
      </c>
      <c r="N98">
        <v>4.6122032131724403E-2</v>
      </c>
      <c r="O98">
        <v>0.165861900764527</v>
      </c>
      <c r="P98">
        <v>0.21285985324360199</v>
      </c>
      <c r="Q98">
        <v>0.128421954655421</v>
      </c>
      <c r="R98">
        <v>7.42</v>
      </c>
      <c r="S98">
        <v>0.45</v>
      </c>
      <c r="T98">
        <v>0.37</v>
      </c>
      <c r="U98">
        <v>0</v>
      </c>
      <c r="V98">
        <v>0.72450599999999998</v>
      </c>
      <c r="W98">
        <v>-2.2859108105009698E-2</v>
      </c>
      <c r="X98">
        <v>7.4200000000000002E-2</v>
      </c>
      <c r="Y98">
        <v>4.4999999999999997E-3</v>
      </c>
      <c r="Z98">
        <v>3.7000000000000002E-3</v>
      </c>
      <c r="AA98">
        <v>0</v>
      </c>
      <c r="AB98">
        <v>-2.2859108105009698E-2</v>
      </c>
      <c r="AC98">
        <v>4.96447460735987E-2</v>
      </c>
      <c r="AD98">
        <v>7.2503854178608398E-2</v>
      </c>
      <c r="AE98">
        <v>4.39713401352746E-3</v>
      </c>
      <c r="AF98">
        <v>3.6154213000114599E-3</v>
      </c>
    </row>
    <row r="99" spans="1:32" x14ac:dyDescent="0.2">
      <c r="A99" s="1">
        <v>41729</v>
      </c>
      <c r="B99">
        <v>-2.7642832498458302E-2</v>
      </c>
      <c r="C99">
        <v>6.9664066520688503E-2</v>
      </c>
      <c r="D99">
        <v>0.181175191897892</v>
      </c>
      <c r="E99">
        <v>0.27926533248042301</v>
      </c>
      <c r="F99">
        <v>-2.72813985437243E-2</v>
      </c>
      <c r="G99">
        <v>7.6799517136729903E-2</v>
      </c>
      <c r="H99">
        <v>0.17419230390573001</v>
      </c>
      <c r="I99">
        <v>0.24420348291009999</v>
      </c>
      <c r="J99">
        <v>-2.6153935385201599E-2</v>
      </c>
      <c r="K99">
        <v>9.7397656824240897E-2</v>
      </c>
      <c r="L99">
        <v>0.19429273698298</v>
      </c>
      <c r="M99">
        <v>0.27319070193496298</v>
      </c>
      <c r="N99">
        <v>9.2199048005042299E-3</v>
      </c>
      <c r="O99">
        <v>0.100820943715225</v>
      </c>
      <c r="P99">
        <v>0.21400925209292501</v>
      </c>
      <c r="Q99">
        <v>0.17050305231952601</v>
      </c>
      <c r="R99">
        <v>-0.54</v>
      </c>
      <c r="S99">
        <v>0.33</v>
      </c>
      <c r="T99">
        <v>1.72</v>
      </c>
      <c r="U99">
        <v>0</v>
      </c>
      <c r="V99">
        <v>0.72616400000000003</v>
      </c>
      <c r="W99">
        <v>2.2884558581985899E-3</v>
      </c>
      <c r="X99">
        <v>-5.4000000000000003E-3</v>
      </c>
      <c r="Y99">
        <v>3.3E-3</v>
      </c>
      <c r="Z99">
        <v>1.72E-2</v>
      </c>
      <c r="AA99">
        <v>0</v>
      </c>
      <c r="AB99">
        <v>2.2884558581985899E-3</v>
      </c>
      <c r="AC99">
        <v>-3.12390180343569E-3</v>
      </c>
      <c r="AD99">
        <v>-5.4123576616342799E-3</v>
      </c>
      <c r="AE99">
        <v>3.3075519043320599E-3</v>
      </c>
      <c r="AF99">
        <v>1.7239361440760999E-2</v>
      </c>
    </row>
    <row r="100" spans="1:32" x14ac:dyDescent="0.2">
      <c r="A100" s="1">
        <v>41759</v>
      </c>
      <c r="B100">
        <v>-3.8164258025832798E-3</v>
      </c>
      <c r="C100">
        <v>5.6639921285693999E-2</v>
      </c>
      <c r="D100">
        <v>0.16654373171560599</v>
      </c>
      <c r="E100">
        <v>0.26026447769122601</v>
      </c>
      <c r="F100">
        <v>-8.5633085130092101E-3</v>
      </c>
      <c r="G100">
        <v>7.0253123663315001E-2</v>
      </c>
      <c r="H100">
        <v>0.159493358857623</v>
      </c>
      <c r="I100">
        <v>0.24878570720155099</v>
      </c>
      <c r="J100">
        <v>-2.5389704795268299E-3</v>
      </c>
      <c r="K100">
        <v>8.7842133001106201E-2</v>
      </c>
      <c r="L100">
        <v>0.17206728788263601</v>
      </c>
      <c r="M100">
        <v>0.25204452715159498</v>
      </c>
      <c r="N100">
        <v>1.62949470036877E-2</v>
      </c>
      <c r="O100">
        <v>8.1952022402893704E-2</v>
      </c>
      <c r="P100">
        <v>0.18620181580887499</v>
      </c>
      <c r="Q100">
        <v>0.20541632112036801</v>
      </c>
      <c r="R100">
        <v>1.77</v>
      </c>
      <c r="S100">
        <v>-2.19</v>
      </c>
      <c r="T100">
        <v>0.28999999999999998</v>
      </c>
      <c r="U100">
        <v>0</v>
      </c>
      <c r="V100">
        <v>0.72111099999999995</v>
      </c>
      <c r="W100">
        <v>-6.9584832076501303E-3</v>
      </c>
      <c r="X100">
        <v>1.77E-2</v>
      </c>
      <c r="Y100">
        <v>-2.1899999999999999E-2</v>
      </c>
      <c r="Z100">
        <v>2.8999999999999998E-3</v>
      </c>
      <c r="AA100">
        <v>0</v>
      </c>
      <c r="AB100">
        <v>-6.9584832076501303E-3</v>
      </c>
      <c r="AC100">
        <v>1.06183516395746E-2</v>
      </c>
      <c r="AD100">
        <v>1.75768348472247E-2</v>
      </c>
      <c r="AE100">
        <v>-2.1747609217752501E-2</v>
      </c>
      <c r="AF100">
        <v>2.87982039869781E-3</v>
      </c>
    </row>
    <row r="101" spans="1:32" x14ac:dyDescent="0.2">
      <c r="A101" s="1">
        <v>41790</v>
      </c>
      <c r="B101">
        <v>-8.4021496645498798E-3</v>
      </c>
      <c r="C101">
        <v>4.1282060408849401E-2</v>
      </c>
      <c r="D101">
        <v>0.15432654793769501</v>
      </c>
      <c r="E101">
        <v>0.22386918662404201</v>
      </c>
      <c r="F101">
        <v>2.7610280480849601E-2</v>
      </c>
      <c r="G101">
        <v>9.5499913691448599E-2</v>
      </c>
      <c r="H101">
        <v>0.16524393595848699</v>
      </c>
      <c r="I101">
        <v>0.218710151310849</v>
      </c>
      <c r="J101">
        <v>5.7024520325957603E-2</v>
      </c>
      <c r="K101">
        <v>0.12563332256144299</v>
      </c>
      <c r="L101">
        <v>0.17719660278706501</v>
      </c>
      <c r="M101">
        <v>0.22715270325967599</v>
      </c>
      <c r="N101">
        <v>5.9799758496856197E-2</v>
      </c>
      <c r="O101">
        <v>0.11037579016265001</v>
      </c>
      <c r="P101">
        <v>0.179030719665596</v>
      </c>
      <c r="Q101">
        <v>0.221895972266096</v>
      </c>
      <c r="R101">
        <v>0.77</v>
      </c>
      <c r="S101">
        <v>-0.68</v>
      </c>
      <c r="T101">
        <v>-0.41</v>
      </c>
      <c r="U101">
        <v>0</v>
      </c>
      <c r="V101">
        <v>0.733622</v>
      </c>
      <c r="W101">
        <v>1.7349617465272301E-2</v>
      </c>
      <c r="X101">
        <v>7.7000000000000002E-3</v>
      </c>
      <c r="Y101">
        <v>-6.7999999999999996E-3</v>
      </c>
      <c r="Z101">
        <v>-4.1000000000000003E-3</v>
      </c>
      <c r="AA101">
        <v>0</v>
      </c>
      <c r="AB101">
        <v>1.7349617465272301E-2</v>
      </c>
      <c r="AC101">
        <v>2.51832095197548E-2</v>
      </c>
      <c r="AD101">
        <v>7.8335920544825299E-3</v>
      </c>
      <c r="AE101">
        <v>-6.9179773987638497E-3</v>
      </c>
      <c r="AF101">
        <v>-4.1711334316076199E-3</v>
      </c>
    </row>
    <row r="102" spans="1:32" x14ac:dyDescent="0.2">
      <c r="A102" s="1">
        <v>41820</v>
      </c>
      <c r="B102">
        <v>-2.1028295677539301E-2</v>
      </c>
      <c r="C102">
        <v>1.79110102888413E-2</v>
      </c>
      <c r="D102">
        <v>0.13433003911271699</v>
      </c>
      <c r="E102">
        <v>0.18649336250922699</v>
      </c>
      <c r="F102">
        <v>4.6491978654365801E-2</v>
      </c>
      <c r="G102">
        <v>9.7951385807949695E-2</v>
      </c>
      <c r="H102">
        <v>0.14931833393819199</v>
      </c>
      <c r="I102">
        <v>0.185051875262848</v>
      </c>
      <c r="J102">
        <v>7.4111444849112806E-2</v>
      </c>
      <c r="K102">
        <v>0.117210763179421</v>
      </c>
      <c r="L102">
        <v>0.148444882188488</v>
      </c>
      <c r="M102">
        <v>0.194303567935243</v>
      </c>
      <c r="N102">
        <v>7.1783883327880493E-2</v>
      </c>
      <c r="O102">
        <v>0.12045482292873599</v>
      </c>
      <c r="P102">
        <v>0.14190351033373899</v>
      </c>
      <c r="Q102">
        <v>0.203836937508065</v>
      </c>
      <c r="R102">
        <v>-0.12</v>
      </c>
      <c r="S102">
        <v>0.12</v>
      </c>
      <c r="T102">
        <v>-1.76</v>
      </c>
      <c r="U102">
        <v>0</v>
      </c>
      <c r="V102">
        <v>0.73035300000000003</v>
      </c>
      <c r="W102">
        <v>-4.4559732396247699E-3</v>
      </c>
      <c r="X102">
        <v>-1.1999999999999999E-3</v>
      </c>
      <c r="Y102">
        <v>1.1999999999999999E-3</v>
      </c>
      <c r="Z102">
        <v>-1.7600000000000001E-2</v>
      </c>
      <c r="AA102">
        <v>0</v>
      </c>
      <c r="AB102">
        <v>-4.4559732396247699E-3</v>
      </c>
      <c r="AC102">
        <v>-5.6506260717371602E-3</v>
      </c>
      <c r="AD102">
        <v>-1.1946528321124001E-3</v>
      </c>
      <c r="AE102">
        <v>1.1946528321124499E-3</v>
      </c>
      <c r="AF102">
        <v>-1.75215748709826E-2</v>
      </c>
    </row>
    <row r="103" spans="1:32" x14ac:dyDescent="0.2">
      <c r="A103" s="1">
        <v>41851</v>
      </c>
      <c r="B103">
        <v>-7.2809052153531596E-3</v>
      </c>
      <c r="C103">
        <v>2.4003675984829002E-2</v>
      </c>
      <c r="D103">
        <v>0.11613490750474099</v>
      </c>
      <c r="E103">
        <v>0.16236005736874901</v>
      </c>
      <c r="F103">
        <v>4.8466037775028802E-2</v>
      </c>
      <c r="G103">
        <v>9.5377342042689994E-2</v>
      </c>
      <c r="H103">
        <v>0.14115129909708399</v>
      </c>
      <c r="I103">
        <v>0.16674727796729599</v>
      </c>
      <c r="J103">
        <v>7.0333885639708799E-2</v>
      </c>
      <c r="K103">
        <v>0.10798082282320599</v>
      </c>
      <c r="L103">
        <v>0.134826566420302</v>
      </c>
      <c r="M103">
        <v>0.15897708556340501</v>
      </c>
      <c r="N103">
        <v>7.9664361148196694E-2</v>
      </c>
      <c r="O103">
        <v>0.123194779289276</v>
      </c>
      <c r="P103">
        <v>0.129440367154322</v>
      </c>
      <c r="Q103">
        <v>0.17089399670616201</v>
      </c>
      <c r="R103">
        <v>-4.0999999999999996</v>
      </c>
      <c r="S103">
        <v>-0.43</v>
      </c>
      <c r="T103">
        <v>0.4</v>
      </c>
      <c r="U103">
        <v>0</v>
      </c>
      <c r="V103">
        <v>0.74688200000000005</v>
      </c>
      <c r="W103">
        <v>2.2631522017435301E-2</v>
      </c>
      <c r="X103">
        <v>-4.1000000000000002E-2</v>
      </c>
      <c r="Y103">
        <v>-4.3E-3</v>
      </c>
      <c r="Z103">
        <v>4.0000000000000001E-3</v>
      </c>
      <c r="AA103">
        <v>0</v>
      </c>
      <c r="AB103">
        <v>2.2631522017435301E-2</v>
      </c>
      <c r="AC103">
        <v>-1.9296370385279499E-2</v>
      </c>
      <c r="AD103">
        <v>-4.1927892402714897E-2</v>
      </c>
      <c r="AE103">
        <v>-4.3973155446749698E-3</v>
      </c>
      <c r="AF103">
        <v>4.0905260880697396E-3</v>
      </c>
    </row>
    <row r="104" spans="1:32" x14ac:dyDescent="0.2">
      <c r="A104" s="1">
        <v>41882</v>
      </c>
      <c r="B104">
        <v>4.0286126609132202E-2</v>
      </c>
      <c r="C104">
        <v>2.9084301848987699E-2</v>
      </c>
      <c r="D104">
        <v>9.6275178518189397E-2</v>
      </c>
      <c r="E104">
        <v>0.16529750585814601</v>
      </c>
      <c r="F104">
        <v>5.6100934853795102E-2</v>
      </c>
      <c r="G104">
        <v>8.2566569156369798E-2</v>
      </c>
      <c r="H104">
        <v>0.134979633054232</v>
      </c>
      <c r="I104">
        <v>0.16621053155221599</v>
      </c>
      <c r="J104">
        <v>8.8899621591182407E-2</v>
      </c>
      <c r="K104">
        <v>0.11449322339373599</v>
      </c>
      <c r="L104">
        <v>0.14015930252011599</v>
      </c>
      <c r="M104">
        <v>0.15690012849681301</v>
      </c>
      <c r="N104">
        <v>9.9411866871144505E-2</v>
      </c>
      <c r="O104">
        <v>0.12355694202525901</v>
      </c>
      <c r="P104">
        <v>0.116844578654516</v>
      </c>
      <c r="Q104">
        <v>0.15445851703374899</v>
      </c>
      <c r="R104">
        <v>-0.02</v>
      </c>
      <c r="S104">
        <v>-0.97</v>
      </c>
      <c r="T104">
        <v>-1.01</v>
      </c>
      <c r="U104">
        <v>0</v>
      </c>
      <c r="V104">
        <v>0.76146999999999998</v>
      </c>
      <c r="W104">
        <v>1.9531867149027399E-2</v>
      </c>
      <c r="X104">
        <v>-2.0000000000000001E-4</v>
      </c>
      <c r="Y104">
        <v>-9.7000000000000003E-3</v>
      </c>
      <c r="Z104">
        <v>-1.01E-2</v>
      </c>
      <c r="AA104">
        <v>0</v>
      </c>
      <c r="AB104">
        <v>1.9531867149027399E-2</v>
      </c>
      <c r="AC104">
        <v>1.9327960775597602E-2</v>
      </c>
      <c r="AD104">
        <v>-2.03906373429819E-4</v>
      </c>
      <c r="AE104">
        <v>-9.8894591113455697E-3</v>
      </c>
      <c r="AF104">
        <v>-1.02972718582052E-2</v>
      </c>
    </row>
    <row r="105" spans="1:32" x14ac:dyDescent="0.2">
      <c r="A105" s="1">
        <v>41912</v>
      </c>
      <c r="B105">
        <v>0.111071583840245</v>
      </c>
      <c r="C105">
        <v>5.5279230697821903E-2</v>
      </c>
      <c r="D105">
        <v>9.4320213851403906E-2</v>
      </c>
      <c r="E105">
        <v>0.17407939312706999</v>
      </c>
      <c r="F105">
        <v>8.4417320346451497E-2</v>
      </c>
      <c r="G105">
        <v>9.3741201769611301E-2</v>
      </c>
      <c r="H105">
        <v>0.12990331556203899</v>
      </c>
      <c r="I105">
        <v>0.15980001022259999</v>
      </c>
      <c r="J105">
        <v>0.127567372000395</v>
      </c>
      <c r="K105">
        <v>0.131610205547877</v>
      </c>
      <c r="L105">
        <v>0.13246352853049501</v>
      </c>
      <c r="M105">
        <v>0.15588444012996699</v>
      </c>
      <c r="N105">
        <v>0.155230941739712</v>
      </c>
      <c r="O105">
        <v>0.14488734461004801</v>
      </c>
      <c r="P105">
        <v>0.11674586204069499</v>
      </c>
      <c r="Q105">
        <v>0.13904009444672899</v>
      </c>
      <c r="R105">
        <v>-3.79</v>
      </c>
      <c r="S105">
        <v>-2.2799999999999998</v>
      </c>
      <c r="T105">
        <v>-0.44</v>
      </c>
      <c r="U105">
        <v>0</v>
      </c>
      <c r="V105">
        <v>0.79164000000000001</v>
      </c>
      <c r="W105">
        <v>3.9620733581099903E-2</v>
      </c>
      <c r="X105">
        <v>-3.7900000000000003E-2</v>
      </c>
      <c r="Y105">
        <v>-2.2800000000000001E-2</v>
      </c>
      <c r="Z105">
        <v>-4.4000000000000003E-3</v>
      </c>
      <c r="AA105">
        <v>0</v>
      </c>
      <c r="AB105">
        <v>3.9620733581099903E-2</v>
      </c>
      <c r="AC105">
        <v>2.19107778376193E-4</v>
      </c>
      <c r="AD105">
        <v>-3.9401625802723703E-2</v>
      </c>
      <c r="AE105">
        <v>-2.37033527256491E-2</v>
      </c>
      <c r="AF105">
        <v>-4.5743312277568404E-3</v>
      </c>
    </row>
    <row r="106" spans="1:32" x14ac:dyDescent="0.2">
      <c r="A106" s="1">
        <v>41943</v>
      </c>
      <c r="B106">
        <v>0.162269018587688</v>
      </c>
      <c r="C106">
        <v>8.5021402152695699E-2</v>
      </c>
      <c r="D106">
        <v>9.7331036477320304E-2</v>
      </c>
      <c r="E106">
        <v>0.17645278068064901</v>
      </c>
      <c r="F106">
        <v>0.119268802103271</v>
      </c>
      <c r="G106">
        <v>9.5968014643329699E-2</v>
      </c>
      <c r="H106">
        <v>0.123786501594493</v>
      </c>
      <c r="I106">
        <v>0.160525375357365</v>
      </c>
      <c r="J106">
        <v>0.15708341834814399</v>
      </c>
      <c r="K106">
        <v>0.142974069024217</v>
      </c>
      <c r="L106">
        <v>0.13897084893029699</v>
      </c>
      <c r="M106">
        <v>0.16771292329422199</v>
      </c>
      <c r="N106">
        <v>0.15416451956086</v>
      </c>
      <c r="O106">
        <v>0.13870732247506601</v>
      </c>
      <c r="P106">
        <v>0.11682952720114299</v>
      </c>
      <c r="Q106">
        <v>0.135323991519989</v>
      </c>
      <c r="R106">
        <v>-2.7</v>
      </c>
      <c r="S106">
        <v>-1.23</v>
      </c>
      <c r="T106">
        <v>-3.09</v>
      </c>
      <c r="U106">
        <v>0</v>
      </c>
      <c r="V106">
        <v>0.79843500000000001</v>
      </c>
      <c r="W106">
        <v>8.5834470213732601E-3</v>
      </c>
      <c r="X106">
        <v>-2.7E-2</v>
      </c>
      <c r="Y106">
        <v>-1.23E-2</v>
      </c>
      <c r="Z106">
        <v>-3.09E-2</v>
      </c>
      <c r="AA106">
        <v>0</v>
      </c>
      <c r="AB106">
        <v>8.5834470213732601E-3</v>
      </c>
      <c r="AC106">
        <v>-1.8648306048203899E-2</v>
      </c>
      <c r="AD106">
        <v>-2.7231753069577098E-2</v>
      </c>
      <c r="AE106">
        <v>-1.24055763983629E-2</v>
      </c>
      <c r="AF106">
        <v>-3.11652285129604E-2</v>
      </c>
    </row>
    <row r="107" spans="1:32" x14ac:dyDescent="0.2">
      <c r="A107" s="1">
        <v>41973</v>
      </c>
      <c r="B107">
        <v>0.20509211191337301</v>
      </c>
      <c r="C107">
        <v>0.10156946975609001</v>
      </c>
      <c r="D107">
        <v>0.11037377960156999</v>
      </c>
      <c r="E107">
        <v>0.184581875585242</v>
      </c>
      <c r="F107">
        <v>0.14868323177809201</v>
      </c>
      <c r="G107">
        <v>8.7318020641292099E-2</v>
      </c>
      <c r="H107">
        <v>0.1315401214911</v>
      </c>
      <c r="I107">
        <v>0.17769638067323901</v>
      </c>
      <c r="J107">
        <v>0.13177887803143601</v>
      </c>
      <c r="K107">
        <v>0.102074612012778</v>
      </c>
      <c r="L107">
        <v>0.13929751391629</v>
      </c>
      <c r="M107">
        <v>0.16843740625234199</v>
      </c>
      <c r="N107">
        <v>0.12729873308671799</v>
      </c>
      <c r="O107">
        <v>9.7870594949026696E-2</v>
      </c>
      <c r="P107">
        <v>0.115443928615296</v>
      </c>
      <c r="Q107">
        <v>0.132077871468536</v>
      </c>
      <c r="R107">
        <v>2.12</v>
      </c>
      <c r="S107">
        <v>-1.35</v>
      </c>
      <c r="T107">
        <v>-1.82</v>
      </c>
      <c r="U107">
        <v>0</v>
      </c>
      <c r="V107">
        <v>0.80308400000000002</v>
      </c>
      <c r="W107">
        <v>5.8226405405574803E-3</v>
      </c>
      <c r="X107">
        <v>2.12E-2</v>
      </c>
      <c r="Y107">
        <v>-1.35E-2</v>
      </c>
      <c r="Z107">
        <v>-1.8200000000000001E-2</v>
      </c>
      <c r="AA107">
        <v>0</v>
      </c>
      <c r="AB107">
        <v>5.8226405405574803E-3</v>
      </c>
      <c r="AC107">
        <v>2.71460805200174E-2</v>
      </c>
      <c r="AD107">
        <v>2.1323439979459999E-2</v>
      </c>
      <c r="AE107">
        <v>-1.3578605647297501E-2</v>
      </c>
      <c r="AF107">
        <v>-1.8305972057838099E-2</v>
      </c>
    </row>
    <row r="108" spans="1:32" x14ac:dyDescent="0.2">
      <c r="A108" s="1">
        <v>42004</v>
      </c>
      <c r="B108">
        <v>0.17636268861920101</v>
      </c>
      <c r="C108">
        <v>0.12603204296774401</v>
      </c>
      <c r="D108">
        <v>0.130555342870283</v>
      </c>
      <c r="E108">
        <v>0.18853506291921601</v>
      </c>
      <c r="F108">
        <v>0.13151585789825301</v>
      </c>
      <c r="G108">
        <v>7.6224689943556898E-2</v>
      </c>
      <c r="H108">
        <v>0.13871378180369801</v>
      </c>
      <c r="I108">
        <v>0.18889295057244901</v>
      </c>
      <c r="J108">
        <v>0.110913717064222</v>
      </c>
      <c r="K108">
        <v>9.3435141156458401E-2</v>
      </c>
      <c r="L108">
        <v>0.15088214213762699</v>
      </c>
      <c r="M108">
        <v>0.16951745697686199</v>
      </c>
      <c r="N108">
        <v>6.9549884699503406E-2</v>
      </c>
      <c r="O108">
        <v>7.9722504232723895E-2</v>
      </c>
      <c r="P108">
        <v>0.121397198496997</v>
      </c>
      <c r="Q108">
        <v>0.14137941803333001</v>
      </c>
      <c r="R108">
        <v>-3.7</v>
      </c>
      <c r="S108">
        <v>2.2200000000000002</v>
      </c>
      <c r="T108">
        <v>-2.35</v>
      </c>
      <c r="U108">
        <v>0</v>
      </c>
      <c r="V108">
        <v>0.82654899999999998</v>
      </c>
      <c r="W108">
        <v>2.92186122497771E-2</v>
      </c>
      <c r="X108">
        <v>-3.6999999999999998E-2</v>
      </c>
      <c r="Y108">
        <v>2.2200000000000001E-2</v>
      </c>
      <c r="Z108">
        <v>-2.35E-2</v>
      </c>
      <c r="AA108">
        <v>0</v>
      </c>
      <c r="AB108">
        <v>2.92186122497771E-2</v>
      </c>
      <c r="AC108">
        <v>-8.8624764034647106E-3</v>
      </c>
      <c r="AD108">
        <v>-3.80810886532418E-2</v>
      </c>
      <c r="AE108">
        <v>2.2848653191945002E-2</v>
      </c>
      <c r="AF108">
        <v>-2.4186637387869799E-2</v>
      </c>
    </row>
    <row r="109" spans="1:32" x14ac:dyDescent="0.2">
      <c r="A109" s="1">
        <v>42035</v>
      </c>
      <c r="B109">
        <v>0.156116577222456</v>
      </c>
      <c r="C109">
        <v>0.14214784642252001</v>
      </c>
      <c r="D109">
        <v>0.166811982492168</v>
      </c>
      <c r="E109">
        <v>0.21665704686194301</v>
      </c>
      <c r="F109">
        <v>0.11830914971065699</v>
      </c>
      <c r="G109">
        <v>7.7265528039427905E-2</v>
      </c>
      <c r="H109">
        <v>0.16548115277663999</v>
      </c>
      <c r="I109">
        <v>0.20333648181085701</v>
      </c>
      <c r="J109">
        <v>9.37183208623414E-2</v>
      </c>
      <c r="K109">
        <v>9.5644990308084002E-2</v>
      </c>
      <c r="L109">
        <v>0.17093749326679999</v>
      </c>
      <c r="M109">
        <v>0.19868423445229799</v>
      </c>
      <c r="N109">
        <v>7.7430874450689996E-2</v>
      </c>
      <c r="O109">
        <v>8.5596234054948206E-2</v>
      </c>
      <c r="P109">
        <v>0.148315457143572</v>
      </c>
      <c r="Q109">
        <v>0.17669092236832501</v>
      </c>
      <c r="R109">
        <v>-0.31</v>
      </c>
      <c r="S109">
        <v>-1.56</v>
      </c>
      <c r="T109">
        <v>-3.52</v>
      </c>
      <c r="U109">
        <v>0</v>
      </c>
      <c r="V109">
        <v>0.88585700000000001</v>
      </c>
      <c r="W109">
        <v>7.1753761724955303E-2</v>
      </c>
      <c r="X109">
        <v>-3.0999999999999999E-3</v>
      </c>
      <c r="Y109">
        <v>-1.5599999999999999E-2</v>
      </c>
      <c r="Z109">
        <v>-3.5200000000000002E-2</v>
      </c>
      <c r="AA109">
        <v>0</v>
      </c>
      <c r="AB109">
        <v>7.1753761724955303E-2</v>
      </c>
      <c r="AC109">
        <v>6.8431325063607898E-2</v>
      </c>
      <c r="AD109">
        <v>-3.3224366613473499E-3</v>
      </c>
      <c r="AE109">
        <v>-1.6719358682909299E-2</v>
      </c>
      <c r="AF109">
        <v>-3.7725732412718399E-2</v>
      </c>
    </row>
    <row r="110" spans="1:32" x14ac:dyDescent="0.2">
      <c r="A110" s="1">
        <v>42063</v>
      </c>
      <c r="B110">
        <v>2.3840889999741099E-2</v>
      </c>
      <c r="C110">
        <v>0.12975323059741001</v>
      </c>
      <c r="D110">
        <v>0.18610602877080701</v>
      </c>
      <c r="E110">
        <v>0.20400444438610399</v>
      </c>
      <c r="F110">
        <v>1.2117519179184501E-2</v>
      </c>
      <c r="G110">
        <v>8.8546448174978407E-2</v>
      </c>
      <c r="H110">
        <v>0.16959717446818701</v>
      </c>
      <c r="I110">
        <v>0.205815517923645</v>
      </c>
      <c r="J110">
        <v>1.9363278675212502E-2</v>
      </c>
      <c r="K110">
        <v>0.10214493395049799</v>
      </c>
      <c r="L110">
        <v>0.17585921817116101</v>
      </c>
      <c r="M110">
        <v>0.21984957492360599</v>
      </c>
      <c r="N110">
        <v>1.94487196591028E-2</v>
      </c>
      <c r="O110">
        <v>0.100876425074964</v>
      </c>
      <c r="P110">
        <v>0.15477303976964099</v>
      </c>
      <c r="Q110">
        <v>0.196659180192779</v>
      </c>
      <c r="R110">
        <v>6.21</v>
      </c>
      <c r="S110">
        <v>0.99</v>
      </c>
      <c r="T110">
        <v>1.96</v>
      </c>
      <c r="U110">
        <v>0</v>
      </c>
      <c r="V110">
        <v>0.89321600000000001</v>
      </c>
      <c r="W110">
        <v>8.3072098544121308E-3</v>
      </c>
      <c r="X110">
        <v>6.2100000000000002E-2</v>
      </c>
      <c r="Y110">
        <v>9.9000000000000008E-3</v>
      </c>
      <c r="Z110">
        <v>1.9599999999999999E-2</v>
      </c>
      <c r="AA110">
        <v>0</v>
      </c>
      <c r="AB110">
        <v>8.3072098544121308E-3</v>
      </c>
      <c r="AC110">
        <v>7.09230875863711E-2</v>
      </c>
      <c r="AD110">
        <v>6.2615877731958994E-2</v>
      </c>
      <c r="AE110">
        <v>9.9822413775586798E-3</v>
      </c>
      <c r="AF110">
        <v>1.9762821313146502E-2</v>
      </c>
    </row>
    <row r="111" spans="1:32" x14ac:dyDescent="0.2">
      <c r="A111" s="1">
        <v>42094</v>
      </c>
      <c r="B111">
        <v>-4.2384864348305399E-5</v>
      </c>
      <c r="C111">
        <v>0.103495026648871</v>
      </c>
      <c r="D111">
        <v>0.21001843470155501</v>
      </c>
      <c r="E111">
        <v>0.19606755860785299</v>
      </c>
      <c r="F111">
        <v>-1.62188717264958E-2</v>
      </c>
      <c r="G111">
        <v>9.2971551259352803E-2</v>
      </c>
      <c r="H111">
        <v>0.18555230453006999</v>
      </c>
      <c r="I111">
        <v>0.21420585284044399</v>
      </c>
      <c r="J111">
        <v>-1.13386622897272E-2</v>
      </c>
      <c r="K111">
        <v>0.10193445978089399</v>
      </c>
      <c r="L111">
        <v>0.201492953171549</v>
      </c>
      <c r="M111">
        <v>0.230704078428387</v>
      </c>
      <c r="N111">
        <v>5.0940482043610401E-5</v>
      </c>
      <c r="O111">
        <v>8.7289483002222196E-2</v>
      </c>
      <c r="P111">
        <v>0.16805551866839</v>
      </c>
      <c r="Q111">
        <v>0.210758216444284</v>
      </c>
      <c r="R111">
        <v>-2.2799999999999998</v>
      </c>
      <c r="S111">
        <v>-0.51</v>
      </c>
      <c r="T111">
        <v>-0.35</v>
      </c>
      <c r="U111">
        <v>0</v>
      </c>
      <c r="V111">
        <v>0.93188000000000004</v>
      </c>
      <c r="W111">
        <v>4.3286282377386999E-2</v>
      </c>
      <c r="X111">
        <v>-2.2800000000000001E-2</v>
      </c>
      <c r="Y111">
        <v>-5.1000000000000004E-3</v>
      </c>
      <c r="Z111">
        <v>-3.5000000000000001E-3</v>
      </c>
      <c r="AA111">
        <v>0</v>
      </c>
      <c r="AB111">
        <v>4.3286282377386999E-2</v>
      </c>
      <c r="AC111">
        <v>1.9499355139182401E-2</v>
      </c>
      <c r="AD111">
        <v>-2.3786927238204501E-2</v>
      </c>
      <c r="AE111">
        <v>-5.32076004012467E-3</v>
      </c>
      <c r="AF111">
        <v>-3.6515019883208502E-3</v>
      </c>
    </row>
    <row r="112" spans="1:32" x14ac:dyDescent="0.2">
      <c r="A112" s="1">
        <v>42124</v>
      </c>
      <c r="B112">
        <v>-6.8752734321266995E-2</v>
      </c>
      <c r="C112">
        <v>6.9939523021295497E-2</v>
      </c>
      <c r="D112">
        <v>0.22198512694231001</v>
      </c>
      <c r="E112">
        <v>0.18649363291200499</v>
      </c>
      <c r="F112">
        <v>-7.1834530539783004E-2</v>
      </c>
      <c r="G112">
        <v>0.108201667267144</v>
      </c>
      <c r="H112">
        <v>0.20553626507870801</v>
      </c>
      <c r="I112">
        <v>0.22215672730515301</v>
      </c>
      <c r="J112">
        <v>-5.62406745935429E-2</v>
      </c>
      <c r="K112">
        <v>0.11389275456959699</v>
      </c>
      <c r="L112">
        <v>0.23208410225343401</v>
      </c>
      <c r="M112">
        <v>0.23968199108041499</v>
      </c>
      <c r="N112">
        <v>-4.4570717453887201E-2</v>
      </c>
      <c r="O112">
        <v>0.11501880349455799</v>
      </c>
      <c r="P112">
        <v>0.19330333566388899</v>
      </c>
      <c r="Q112">
        <v>0.226631911560085</v>
      </c>
      <c r="R112">
        <v>4.79</v>
      </c>
      <c r="S112">
        <v>2.1800000000000002</v>
      </c>
      <c r="T112">
        <v>0.33</v>
      </c>
      <c r="U112">
        <v>0</v>
      </c>
      <c r="V112">
        <v>0.89090800000000003</v>
      </c>
      <c r="W112">
        <v>-4.3967034382109201E-2</v>
      </c>
      <c r="X112">
        <v>4.7899999999999998E-2</v>
      </c>
      <c r="Y112">
        <v>2.18E-2</v>
      </c>
      <c r="Z112">
        <v>3.3E-3</v>
      </c>
      <c r="AA112">
        <v>0</v>
      </c>
      <c r="AB112">
        <v>-4.3967034382109201E-2</v>
      </c>
      <c r="AC112">
        <v>1.82694467098776E-3</v>
      </c>
      <c r="AD112">
        <v>4.5793979053096998E-2</v>
      </c>
      <c r="AE112">
        <v>2.0841518650470001E-2</v>
      </c>
      <c r="AF112">
        <v>3.1549087865390402E-3</v>
      </c>
    </row>
    <row r="113" spans="1:32" x14ac:dyDescent="0.2">
      <c r="A113" s="1">
        <v>42155</v>
      </c>
      <c r="B113">
        <v>-5.2472085421340797E-2</v>
      </c>
      <c r="C113">
        <v>3.2990680927800699E-2</v>
      </c>
      <c r="D113">
        <v>0.20884302465243401</v>
      </c>
      <c r="E113">
        <v>0.18823900833004001</v>
      </c>
      <c r="F113">
        <v>4.9694160336533198E-2</v>
      </c>
      <c r="G113">
        <v>0.14462340821486</v>
      </c>
      <c r="H113">
        <v>0.24051798757422599</v>
      </c>
      <c r="I113">
        <v>0.23135157720787</v>
      </c>
      <c r="J113">
        <v>6.85739359386075E-2</v>
      </c>
      <c r="K113">
        <v>0.174039198834468</v>
      </c>
      <c r="L113">
        <v>0.25987316890421502</v>
      </c>
      <c r="M113">
        <v>0.25115589020387502</v>
      </c>
      <c r="N113">
        <v>8.5062366661597499E-2</v>
      </c>
      <c r="O113">
        <v>0.177253476181848</v>
      </c>
      <c r="P113">
        <v>0.23599927527959999</v>
      </c>
      <c r="Q113">
        <v>0.24037912152121099</v>
      </c>
      <c r="R113">
        <v>-0.15</v>
      </c>
      <c r="S113">
        <v>1.66</v>
      </c>
      <c r="T113">
        <v>-2.4700000000000002</v>
      </c>
      <c r="U113">
        <v>0</v>
      </c>
      <c r="V113">
        <v>0.910084</v>
      </c>
      <c r="W113">
        <v>2.1524107988703599E-2</v>
      </c>
      <c r="X113">
        <v>-1.5E-3</v>
      </c>
      <c r="Y113">
        <v>1.66E-2</v>
      </c>
      <c r="Z113">
        <v>-2.47E-2</v>
      </c>
      <c r="AA113">
        <v>0</v>
      </c>
      <c r="AB113">
        <v>2.1524107988703599E-2</v>
      </c>
      <c r="AC113">
        <v>1.9991821826720501E-2</v>
      </c>
      <c r="AD113">
        <v>-1.53228616198309E-3</v>
      </c>
      <c r="AE113">
        <v>1.69573001926125E-2</v>
      </c>
      <c r="AF113">
        <v>-2.5231645467320998E-2</v>
      </c>
    </row>
    <row r="114" spans="1:32" x14ac:dyDescent="0.2">
      <c r="A114" s="1">
        <v>42185</v>
      </c>
      <c r="B114">
        <v>-3.7452661443158397E-2</v>
      </c>
      <c r="C114">
        <v>2.6988561529028201E-2</v>
      </c>
      <c r="D114">
        <v>0.20409411974220301</v>
      </c>
      <c r="E114">
        <v>0.216335146056535</v>
      </c>
      <c r="F114">
        <v>7.1713366372164702E-2</v>
      </c>
      <c r="G114">
        <v>0.15840663536843799</v>
      </c>
      <c r="H114">
        <v>0.243636052137265</v>
      </c>
      <c r="I114">
        <v>0.234279539192184</v>
      </c>
      <c r="J114">
        <v>0.14968231838457099</v>
      </c>
      <c r="K114">
        <v>0.216701120841478</v>
      </c>
      <c r="L114">
        <v>0.28356110693879</v>
      </c>
      <c r="M114">
        <v>0.287350105742611</v>
      </c>
      <c r="N114">
        <v>0.15884197287545801</v>
      </c>
      <c r="O114">
        <v>0.219931331183293</v>
      </c>
      <c r="P114">
        <v>0.26586052266932902</v>
      </c>
      <c r="Q114">
        <v>0.26804177240357102</v>
      </c>
      <c r="R114">
        <v>-2.84</v>
      </c>
      <c r="S114">
        <v>2.0299999999999998</v>
      </c>
      <c r="T114">
        <v>0.15</v>
      </c>
      <c r="U114">
        <v>0</v>
      </c>
      <c r="V114">
        <v>0.89790000000000003</v>
      </c>
      <c r="W114">
        <v>-1.33877751943776E-2</v>
      </c>
      <c r="X114">
        <v>-2.8400000000000002E-2</v>
      </c>
      <c r="Y114">
        <v>2.0299999999999999E-2</v>
      </c>
      <c r="Z114">
        <v>1.5E-3</v>
      </c>
      <c r="AA114">
        <v>0</v>
      </c>
      <c r="AB114">
        <v>-1.33877751943776E-2</v>
      </c>
      <c r="AC114">
        <v>-4.1407562378857198E-2</v>
      </c>
      <c r="AD114">
        <v>-2.8019787184479599E-2</v>
      </c>
      <c r="AE114">
        <v>2.0028228163554099E-2</v>
      </c>
      <c r="AF114">
        <v>1.47991833720843E-3</v>
      </c>
    </row>
    <row r="115" spans="1:32" x14ac:dyDescent="0.2">
      <c r="A115" s="1">
        <v>42216</v>
      </c>
      <c r="B115">
        <v>-3.7566859419022898E-4</v>
      </c>
      <c r="C115">
        <v>1.08187954762957E-2</v>
      </c>
      <c r="D115">
        <v>0.19661955700432501</v>
      </c>
      <c r="E115">
        <v>0.22779628160719601</v>
      </c>
      <c r="F115">
        <v>0.123699348940062</v>
      </c>
      <c r="G115">
        <v>0.18281064567777999</v>
      </c>
      <c r="H115">
        <v>0.25690355140144699</v>
      </c>
      <c r="I115">
        <v>0.250649063220729</v>
      </c>
      <c r="J115">
        <v>0.25917928122906903</v>
      </c>
      <c r="K115">
        <v>0.270617357566451</v>
      </c>
      <c r="L115">
        <v>0.30427280918929001</v>
      </c>
      <c r="M115">
        <v>0.31492944089782898</v>
      </c>
      <c r="N115">
        <v>0.24395441931606901</v>
      </c>
      <c r="O115">
        <v>0.25031746005461503</v>
      </c>
      <c r="P115">
        <v>0.298190742647584</v>
      </c>
      <c r="Q115">
        <v>0.29320069966184698</v>
      </c>
      <c r="R115">
        <v>2.39</v>
      </c>
      <c r="S115">
        <v>-0.81</v>
      </c>
      <c r="T115">
        <v>-2.65</v>
      </c>
      <c r="U115">
        <v>0</v>
      </c>
      <c r="V115">
        <v>0.91010000000000002</v>
      </c>
      <c r="W115">
        <v>1.35872591602628E-2</v>
      </c>
      <c r="X115">
        <v>2.3900000000000001E-2</v>
      </c>
      <c r="Y115">
        <v>-8.0999999999999996E-3</v>
      </c>
      <c r="Z115">
        <v>-2.6499999999999999E-2</v>
      </c>
      <c r="AA115">
        <v>0</v>
      </c>
      <c r="AB115">
        <v>1.35872591602628E-2</v>
      </c>
      <c r="AC115">
        <v>3.7811994654193E-2</v>
      </c>
      <c r="AD115">
        <v>2.42247354939302E-2</v>
      </c>
      <c r="AE115">
        <v>-8.2100567991981298E-3</v>
      </c>
      <c r="AF115">
        <v>-2.6860062367747E-2</v>
      </c>
    </row>
    <row r="116" spans="1:32" x14ac:dyDescent="0.2">
      <c r="A116" s="1">
        <v>42247</v>
      </c>
      <c r="B116">
        <v>5.4222740725919302E-2</v>
      </c>
      <c r="C116">
        <v>4.36939791423816E-2</v>
      </c>
      <c r="D116">
        <v>0.16282994267843501</v>
      </c>
      <c r="E116">
        <v>0.2235108392696</v>
      </c>
      <c r="F116">
        <v>7.6560337399913303E-2</v>
      </c>
      <c r="G116">
        <v>0.205651208666499</v>
      </c>
      <c r="H116">
        <v>0.23971311801970599</v>
      </c>
      <c r="I116">
        <v>0.26352472858113202</v>
      </c>
      <c r="J116">
        <v>0.209913799402039</v>
      </c>
      <c r="K116">
        <v>0.28555679486959801</v>
      </c>
      <c r="L116">
        <v>0.29728304503230002</v>
      </c>
      <c r="M116">
        <v>0.311813295284875</v>
      </c>
      <c r="N116">
        <v>0.17886719969609399</v>
      </c>
      <c r="O116">
        <v>0.26025968399652299</v>
      </c>
      <c r="P116">
        <v>0.29321987359170798</v>
      </c>
      <c r="Q116">
        <v>0.30175002890758801</v>
      </c>
      <c r="R116">
        <v>-6.02</v>
      </c>
      <c r="S116">
        <v>3.7</v>
      </c>
      <c r="T116">
        <v>-1</v>
      </c>
      <c r="U116">
        <v>0</v>
      </c>
      <c r="V116">
        <v>0.89170000000000005</v>
      </c>
      <c r="W116">
        <v>-2.0217558510053801E-2</v>
      </c>
      <c r="X116">
        <v>-6.0199999999999997E-2</v>
      </c>
      <c r="Y116">
        <v>3.6999999999999998E-2</v>
      </c>
      <c r="Z116">
        <v>-0.01</v>
      </c>
      <c r="AA116">
        <v>0</v>
      </c>
      <c r="AB116">
        <v>-2.0217558510053801E-2</v>
      </c>
      <c r="AC116">
        <v>-7.9200461487748605E-2</v>
      </c>
      <c r="AD116">
        <v>-5.8982902977694797E-2</v>
      </c>
      <c r="AE116">
        <v>3.6251950335128E-2</v>
      </c>
      <c r="AF116">
        <v>-9.7978244148994604E-3</v>
      </c>
    </row>
    <row r="117" spans="1:32" x14ac:dyDescent="0.2">
      <c r="A117" s="1">
        <v>42277</v>
      </c>
      <c r="B117">
        <v>3.5611387742159502E-2</v>
      </c>
      <c r="C117">
        <v>6.59495596103188E-2</v>
      </c>
      <c r="D117">
        <v>0.15009106453068899</v>
      </c>
      <c r="E117">
        <v>0.227324485677628</v>
      </c>
      <c r="F117">
        <v>6.9299982419054093E-2</v>
      </c>
      <c r="G117">
        <v>0.209014939594792</v>
      </c>
      <c r="H117">
        <v>0.236138371709259</v>
      </c>
      <c r="I117">
        <v>0.27279358861674802</v>
      </c>
      <c r="J117">
        <v>0.14501625814063401</v>
      </c>
      <c r="K117">
        <v>0.28917046269776903</v>
      </c>
      <c r="L117">
        <v>0.289371486696196</v>
      </c>
      <c r="M117">
        <v>0.31103797526259702</v>
      </c>
      <c r="N117">
        <v>0.139497705137614</v>
      </c>
      <c r="O117">
        <v>0.287483837328044</v>
      </c>
      <c r="P117">
        <v>0.29956674761496699</v>
      </c>
      <c r="Q117">
        <v>0.30928930669357202</v>
      </c>
      <c r="R117">
        <v>-4.2699999999999996</v>
      </c>
      <c r="S117">
        <v>1.1100000000000001</v>
      </c>
      <c r="T117">
        <v>-3.63</v>
      </c>
      <c r="U117">
        <v>0</v>
      </c>
      <c r="V117">
        <v>0.89470000000000005</v>
      </c>
      <c r="W117">
        <v>3.3643602108333098E-3</v>
      </c>
      <c r="X117">
        <v>-4.2700000000000002E-2</v>
      </c>
      <c r="Y117">
        <v>1.11E-2</v>
      </c>
      <c r="Z117">
        <v>-3.6299999999999999E-2</v>
      </c>
      <c r="AA117">
        <v>0</v>
      </c>
      <c r="AB117">
        <v>3.3643602108333098E-3</v>
      </c>
      <c r="AC117">
        <v>-3.9479297970169198E-2</v>
      </c>
      <c r="AD117">
        <v>-4.2843658181002602E-2</v>
      </c>
      <c r="AE117">
        <v>1.11373443983403E-2</v>
      </c>
      <c r="AF117">
        <v>-3.6422126275653201E-2</v>
      </c>
    </row>
    <row r="118" spans="1:32" x14ac:dyDescent="0.2">
      <c r="A118" s="1">
        <v>42308</v>
      </c>
      <c r="B118">
        <v>5.5959526623559901E-2</v>
      </c>
      <c r="C118">
        <v>7.2528178360369594E-2</v>
      </c>
      <c r="D118">
        <v>0.10944808970876101</v>
      </c>
      <c r="E118">
        <v>0.20822450738314699</v>
      </c>
      <c r="F118">
        <v>7.5631127496459505E-2</v>
      </c>
      <c r="G118">
        <v>0.18841321452495499</v>
      </c>
      <c r="H118">
        <v>0.21149621379111799</v>
      </c>
      <c r="I118">
        <v>0.266691777907409</v>
      </c>
      <c r="J118">
        <v>9.37653212055609E-2</v>
      </c>
      <c r="K118">
        <v>0.26523412612217001</v>
      </c>
      <c r="L118">
        <v>0.26672240774120998</v>
      </c>
      <c r="M118">
        <v>0.29454906207804599</v>
      </c>
      <c r="N118">
        <v>9.5792570028546797E-2</v>
      </c>
      <c r="O118">
        <v>0.265694292285855</v>
      </c>
      <c r="P118">
        <v>0.27303827944869202</v>
      </c>
      <c r="Q118">
        <v>0.30186303233406703</v>
      </c>
      <c r="R118">
        <v>6.19</v>
      </c>
      <c r="S118">
        <v>-2.97</v>
      </c>
      <c r="T118">
        <v>-0.77</v>
      </c>
      <c r="U118">
        <v>0</v>
      </c>
      <c r="V118">
        <v>0.90864999999999996</v>
      </c>
      <c r="W118">
        <v>1.55918184866435E-2</v>
      </c>
      <c r="X118">
        <v>6.1899999999999997E-2</v>
      </c>
      <c r="Y118">
        <v>-2.9700000000000001E-2</v>
      </c>
      <c r="Z118">
        <v>-7.7000000000000002E-3</v>
      </c>
      <c r="AA118">
        <v>0</v>
      </c>
      <c r="AB118">
        <v>1.55918184866435E-2</v>
      </c>
      <c r="AC118">
        <v>7.8456952050966797E-2</v>
      </c>
      <c r="AD118">
        <v>6.28651335643233E-2</v>
      </c>
      <c r="AE118">
        <v>-3.01630770090533E-2</v>
      </c>
      <c r="AF118">
        <v>-7.8200570023471607E-3</v>
      </c>
    </row>
    <row r="119" spans="1:32" x14ac:dyDescent="0.2">
      <c r="A119" s="1">
        <v>42338</v>
      </c>
      <c r="B119">
        <v>8.1732697348815206E-2</v>
      </c>
      <c r="C119">
        <v>0.107879286279631</v>
      </c>
      <c r="D119">
        <v>0.115977289052236</v>
      </c>
      <c r="E119">
        <v>0.187564439448409</v>
      </c>
      <c r="F119">
        <v>0.124705205935257</v>
      </c>
      <c r="G119">
        <v>0.144873453611364</v>
      </c>
      <c r="H119">
        <v>0.20649124559661799</v>
      </c>
      <c r="I119">
        <v>0.24701365783203499</v>
      </c>
      <c r="J119">
        <v>0.12176060125392001</v>
      </c>
      <c r="K119">
        <v>0.22305112948025699</v>
      </c>
      <c r="L119">
        <v>0.26550203949233703</v>
      </c>
      <c r="M119">
        <v>0.302612942204671</v>
      </c>
      <c r="N119">
        <v>0.110536652794613</v>
      </c>
      <c r="O119">
        <v>0.20513764228664999</v>
      </c>
      <c r="P119">
        <v>0.26257954535626099</v>
      </c>
      <c r="Q119">
        <v>0.292774949634305</v>
      </c>
      <c r="R119">
        <v>-1.49</v>
      </c>
      <c r="S119">
        <v>0.33</v>
      </c>
      <c r="T119">
        <v>-2.8</v>
      </c>
      <c r="U119">
        <v>0</v>
      </c>
      <c r="V119">
        <v>0.94655</v>
      </c>
      <c r="W119">
        <v>4.17102294612888E-2</v>
      </c>
      <c r="X119">
        <v>-1.49E-2</v>
      </c>
      <c r="Y119">
        <v>3.3E-3</v>
      </c>
      <c r="Z119">
        <v>-2.8000000000000001E-2</v>
      </c>
      <c r="AA119">
        <v>0</v>
      </c>
      <c r="AB119">
        <v>4.17102294612888E-2</v>
      </c>
      <c r="AC119">
        <v>2.61887470423154E-2</v>
      </c>
      <c r="AD119">
        <v>-1.55214824189733E-2</v>
      </c>
      <c r="AE119">
        <v>3.43764375722225E-3</v>
      </c>
      <c r="AF119">
        <v>-2.9167886424916099E-2</v>
      </c>
    </row>
    <row r="120" spans="1:32" x14ac:dyDescent="0.2">
      <c r="A120" s="1">
        <v>42369</v>
      </c>
      <c r="B120">
        <v>8.0047085583081198E-2</v>
      </c>
      <c r="C120">
        <v>0.100502785573488</v>
      </c>
      <c r="D120">
        <v>9.3109080708374495E-2</v>
      </c>
      <c r="E120">
        <v>0.14547702298434501</v>
      </c>
      <c r="F120">
        <v>0.15709695731001</v>
      </c>
      <c r="G120">
        <v>0.14861337254611701</v>
      </c>
      <c r="H120">
        <v>0.19222589927404199</v>
      </c>
      <c r="I120">
        <v>0.21708231605115</v>
      </c>
      <c r="J120">
        <v>0.14716550407714599</v>
      </c>
      <c r="K120">
        <v>0.19854476793866799</v>
      </c>
      <c r="L120">
        <v>0.25418327816569702</v>
      </c>
      <c r="M120">
        <v>0.27956831610612998</v>
      </c>
      <c r="N120">
        <v>0.119442951856863</v>
      </c>
      <c r="O120">
        <v>0.17330703137595199</v>
      </c>
      <c r="P120">
        <v>0.247155109096409</v>
      </c>
      <c r="Q120">
        <v>0.26717528586286698</v>
      </c>
      <c r="R120">
        <v>-1.86</v>
      </c>
      <c r="S120">
        <v>3.77</v>
      </c>
      <c r="T120">
        <v>-1.25</v>
      </c>
      <c r="U120">
        <v>0.01</v>
      </c>
      <c r="V120">
        <v>0.92074999999999996</v>
      </c>
      <c r="W120">
        <v>-2.7256880249326602E-2</v>
      </c>
      <c r="X120">
        <v>-1.8599999999999998E-2</v>
      </c>
      <c r="Y120">
        <v>3.7699999999999997E-2</v>
      </c>
      <c r="Z120">
        <v>-1.2500000000000001E-2</v>
      </c>
      <c r="AA120">
        <v>1E-4</v>
      </c>
      <c r="AB120">
        <v>-2.7159605937351599E-2</v>
      </c>
      <c r="AC120">
        <v>-4.5252627964714E-2</v>
      </c>
      <c r="AD120">
        <v>-1.8093022027362401E-2</v>
      </c>
      <c r="AE120">
        <v>3.6672415614600398E-2</v>
      </c>
      <c r="AF120">
        <v>-1.2159288996883399E-2</v>
      </c>
    </row>
    <row r="121" spans="1:32" x14ac:dyDescent="0.2">
      <c r="A121" s="1">
        <v>42400</v>
      </c>
      <c r="B121">
        <v>3.1528610342368799E-2</v>
      </c>
      <c r="C121">
        <v>7.8123136992916495E-2</v>
      </c>
      <c r="D121">
        <v>6.6558951033454203E-2</v>
      </c>
      <c r="E121">
        <v>7.7959812817584406E-2</v>
      </c>
      <c r="F121">
        <v>0.102092717286865</v>
      </c>
      <c r="G121">
        <v>9.9606071002235105E-2</v>
      </c>
      <c r="H121">
        <v>0.14447491611633101</v>
      </c>
      <c r="I121">
        <v>0.15306633872079101</v>
      </c>
      <c r="J121">
        <v>9.2606815932371606E-2</v>
      </c>
      <c r="K121">
        <v>0.14566507132706899</v>
      </c>
      <c r="L121">
        <v>0.22462640704918399</v>
      </c>
      <c r="M121">
        <v>0.236849314221313</v>
      </c>
      <c r="N121">
        <v>6.8173263505291598E-2</v>
      </c>
      <c r="O121">
        <v>0.111189410944168</v>
      </c>
      <c r="P121">
        <v>0.19408189159081399</v>
      </c>
      <c r="Q121">
        <v>0.200192249684261</v>
      </c>
      <c r="R121">
        <v>-6.43</v>
      </c>
      <c r="S121">
        <v>-0.76</v>
      </c>
      <c r="T121">
        <v>-1.49</v>
      </c>
      <c r="U121">
        <v>0.01</v>
      </c>
      <c r="V121">
        <v>0.92279999999999995</v>
      </c>
      <c r="W121">
        <v>2.2264458322021098E-3</v>
      </c>
      <c r="X121">
        <v>-6.4299999999999996E-2</v>
      </c>
      <c r="Y121">
        <v>-7.6E-3</v>
      </c>
      <c r="Z121">
        <v>-1.49E-2</v>
      </c>
      <c r="AA121">
        <v>1E-4</v>
      </c>
      <c r="AB121">
        <v>2.3266684767853101E-3</v>
      </c>
      <c r="AC121">
        <v>-6.21164919902253E-2</v>
      </c>
      <c r="AD121">
        <v>-6.4443160467010596E-2</v>
      </c>
      <c r="AE121">
        <v>-7.6169209883247399E-3</v>
      </c>
      <c r="AF121">
        <v>-1.49331740428998E-2</v>
      </c>
    </row>
    <row r="122" spans="1:32" x14ac:dyDescent="0.2">
      <c r="A122" s="1">
        <v>42429</v>
      </c>
      <c r="B122">
        <v>-0.12714782575939701</v>
      </c>
      <c r="C122">
        <v>-1.1712806814530401E-3</v>
      </c>
      <c r="D122">
        <v>5.0744570492867298E-2</v>
      </c>
      <c r="E122">
        <v>3.9725121757668701E-2</v>
      </c>
      <c r="F122">
        <v>-6.6619986424506505E-2</v>
      </c>
      <c r="G122">
        <v>3.5105712097451197E-2</v>
      </c>
      <c r="H122">
        <v>8.3512417533420799E-2</v>
      </c>
      <c r="I122">
        <v>0.100894466158211</v>
      </c>
      <c r="J122">
        <v>-7.3831694966433395E-2</v>
      </c>
      <c r="K122">
        <v>7.7421269291516007E-2</v>
      </c>
      <c r="L122">
        <v>0.16439993783989501</v>
      </c>
      <c r="M122">
        <v>0.18170499096689699</v>
      </c>
      <c r="N122">
        <v>-8.03715334580095E-2</v>
      </c>
      <c r="O122">
        <v>4.9216101652892502E-2</v>
      </c>
      <c r="P122">
        <v>0.13818100299560501</v>
      </c>
      <c r="Q122">
        <v>0.151412670245443</v>
      </c>
      <c r="R122">
        <v>-1.71</v>
      </c>
      <c r="S122">
        <v>1.45</v>
      </c>
      <c r="T122">
        <v>0.37</v>
      </c>
      <c r="U122">
        <v>0.02</v>
      </c>
      <c r="V122">
        <v>0.91969999999999996</v>
      </c>
      <c r="W122">
        <v>-3.3593411356740402E-3</v>
      </c>
      <c r="X122">
        <v>-1.7100000000000001E-2</v>
      </c>
      <c r="Y122">
        <v>1.4500000000000001E-2</v>
      </c>
      <c r="Z122">
        <v>3.7000000000000002E-3</v>
      </c>
      <c r="AA122">
        <v>2.0000000000000001E-4</v>
      </c>
      <c r="AB122">
        <v>-3.1600130039012302E-3</v>
      </c>
      <c r="AC122">
        <v>-2.0202568270481201E-2</v>
      </c>
      <c r="AD122">
        <v>-1.7042555266579901E-2</v>
      </c>
      <c r="AE122">
        <v>1.44512895535327E-2</v>
      </c>
      <c r="AF122">
        <v>3.6875704377980099E-3</v>
      </c>
    </row>
    <row r="123" spans="1:32" x14ac:dyDescent="0.2">
      <c r="A123" s="1">
        <v>42460</v>
      </c>
      <c r="B123">
        <v>-0.17792501174011699</v>
      </c>
      <c r="C123">
        <v>-2.75997267208654E-2</v>
      </c>
      <c r="D123">
        <v>4.47351257124542E-2</v>
      </c>
      <c r="E123">
        <v>3.6941060743051798E-2</v>
      </c>
      <c r="F123">
        <v>-0.14768986700102801</v>
      </c>
      <c r="G123">
        <v>4.5529805050511102E-3</v>
      </c>
      <c r="H123">
        <v>7.2573637120781298E-2</v>
      </c>
      <c r="I123">
        <v>8.3144317793357805E-2</v>
      </c>
      <c r="J123">
        <v>-0.1449474124247</v>
      </c>
      <c r="K123">
        <v>4.2139674090563697E-2</v>
      </c>
      <c r="L123">
        <v>0.11102845431457201</v>
      </c>
      <c r="M123">
        <v>0.145290405466277</v>
      </c>
      <c r="N123">
        <v>-0.13689149181452401</v>
      </c>
      <c r="O123">
        <v>9.6963166785192295E-4</v>
      </c>
      <c r="P123">
        <v>8.73300204799866E-2</v>
      </c>
      <c r="Q123">
        <v>0.11901950519806299</v>
      </c>
      <c r="R123">
        <v>6.7</v>
      </c>
      <c r="S123">
        <v>1.71</v>
      </c>
      <c r="T123">
        <v>1.19</v>
      </c>
      <c r="U123">
        <v>0.02</v>
      </c>
      <c r="V123">
        <v>0.87875000000000003</v>
      </c>
      <c r="W123">
        <v>-4.4525388713710902E-2</v>
      </c>
      <c r="X123">
        <v>6.7000000000000004E-2</v>
      </c>
      <c r="Y123">
        <v>1.7100000000000001E-2</v>
      </c>
      <c r="Z123">
        <v>1.1900000000000001E-2</v>
      </c>
      <c r="AA123">
        <v>2.0000000000000001E-4</v>
      </c>
      <c r="AB123">
        <v>-4.4334293791453698E-2</v>
      </c>
      <c r="AC123">
        <v>1.9682505164727599E-2</v>
      </c>
      <c r="AD123">
        <v>6.4016798956181301E-2</v>
      </c>
      <c r="AE123">
        <v>1.6338615852995501E-2</v>
      </c>
      <c r="AF123">
        <v>1.1370147874306799E-2</v>
      </c>
    </row>
    <row r="124" spans="1:32" x14ac:dyDescent="0.2">
      <c r="A124" s="1">
        <v>42490</v>
      </c>
      <c r="B124">
        <v>-0.109414329954111</v>
      </c>
      <c r="C124">
        <v>1.6617197551568499E-2</v>
      </c>
      <c r="D124">
        <v>7.3979629895902302E-2</v>
      </c>
      <c r="E124">
        <v>5.1549865596243701E-2</v>
      </c>
      <c r="F124">
        <v>-0.109551365832842</v>
      </c>
      <c r="G124">
        <v>1.5857794956311299E-2</v>
      </c>
      <c r="H124">
        <v>5.6315754179528901E-2</v>
      </c>
      <c r="I124">
        <v>7.6224765561140703E-2</v>
      </c>
      <c r="J124">
        <v>-0.12049201923674201</v>
      </c>
      <c r="K124">
        <v>2.96492336571491E-2</v>
      </c>
      <c r="L124">
        <v>5.0301882895503497E-2</v>
      </c>
      <c r="M124">
        <v>0.11530865272957</v>
      </c>
      <c r="N124">
        <v>-8.9914929123536602E-2</v>
      </c>
      <c r="O124">
        <v>9.4852016975359894E-3</v>
      </c>
      <c r="P124">
        <v>5.3722077091728E-2</v>
      </c>
      <c r="Q124">
        <v>9.7639979015426703E-2</v>
      </c>
      <c r="R124">
        <v>2.38</v>
      </c>
      <c r="S124">
        <v>-0.64</v>
      </c>
      <c r="T124">
        <v>3.35</v>
      </c>
      <c r="U124">
        <v>0.01</v>
      </c>
      <c r="V124">
        <v>0.87295</v>
      </c>
      <c r="W124">
        <v>-6.6002844950213699E-3</v>
      </c>
      <c r="X124">
        <v>2.3800000000000002E-2</v>
      </c>
      <c r="Y124">
        <v>-6.4000000000000003E-3</v>
      </c>
      <c r="Z124">
        <v>3.3500000000000002E-2</v>
      </c>
      <c r="AA124">
        <v>1E-4</v>
      </c>
      <c r="AB124">
        <v>-6.5009445234708299E-3</v>
      </c>
      <c r="AC124">
        <v>1.71419687055476E-2</v>
      </c>
      <c r="AD124">
        <v>2.36429132290185E-2</v>
      </c>
      <c r="AE124">
        <v>-6.3577581792318601E-3</v>
      </c>
      <c r="AF124">
        <v>3.3278890469416803E-2</v>
      </c>
    </row>
    <row r="125" spans="1:32" x14ac:dyDescent="0.2">
      <c r="A125" s="1">
        <v>42521</v>
      </c>
      <c r="B125">
        <v>4.61597506088046E-3</v>
      </c>
      <c r="C125">
        <v>2.0474618570121499E-2</v>
      </c>
      <c r="D125">
        <v>9.0664343219138493E-2</v>
      </c>
      <c r="E125">
        <v>6.1543329146319999E-2</v>
      </c>
      <c r="F125">
        <v>3.4467330369437603E-2</v>
      </c>
      <c r="G125">
        <v>5.3114946662371799E-2</v>
      </c>
      <c r="H125">
        <v>6.4490462090243297E-2</v>
      </c>
      <c r="I125">
        <v>7.5148848863430998E-2</v>
      </c>
      <c r="J125">
        <v>3.8851575557280901E-2</v>
      </c>
      <c r="K125">
        <v>3.8002401189714097E-2</v>
      </c>
      <c r="L125">
        <v>5.2291239127207602E-2</v>
      </c>
      <c r="M125">
        <v>0.10695961767713</v>
      </c>
      <c r="N125">
        <v>6.7030011855480007E-2</v>
      </c>
      <c r="O125">
        <v>3.7709730833762299E-2</v>
      </c>
      <c r="P125">
        <v>5.1917998523976397E-2</v>
      </c>
      <c r="Q125">
        <v>9.0969764060257099E-2</v>
      </c>
      <c r="R125">
        <v>-0.38</v>
      </c>
      <c r="S125">
        <v>1.53</v>
      </c>
      <c r="T125">
        <v>-2.87</v>
      </c>
      <c r="U125">
        <v>0.01</v>
      </c>
      <c r="V125">
        <v>0.89834999999999998</v>
      </c>
      <c r="W125">
        <v>2.90967409359069E-2</v>
      </c>
      <c r="X125">
        <v>-3.8E-3</v>
      </c>
      <c r="Y125">
        <v>1.5299999999999999E-2</v>
      </c>
      <c r="Z125">
        <v>-2.87E-2</v>
      </c>
      <c r="AA125">
        <v>1E-4</v>
      </c>
      <c r="AB125">
        <v>2.9199650610000499E-2</v>
      </c>
      <c r="AC125">
        <v>2.52890829944439E-2</v>
      </c>
      <c r="AD125">
        <v>-3.9105676155566397E-3</v>
      </c>
      <c r="AE125">
        <v>1.5745180136319401E-2</v>
      </c>
      <c r="AF125">
        <v>-2.9535076464860501E-2</v>
      </c>
    </row>
    <row r="126" spans="1:32" x14ac:dyDescent="0.2">
      <c r="A126" s="1">
        <v>42551</v>
      </c>
      <c r="B126">
        <v>4.76187039333082E-2</v>
      </c>
      <c r="C126">
        <v>2.8938808859525399E-2</v>
      </c>
      <c r="D126">
        <v>6.3388272877392404E-2</v>
      </c>
      <c r="E126">
        <v>3.3426884396007203E-2</v>
      </c>
      <c r="F126">
        <v>8.9332780598044406E-2</v>
      </c>
      <c r="G126">
        <v>4.8168119538935399E-2</v>
      </c>
      <c r="H126">
        <v>5.6189227503014902E-2</v>
      </c>
      <c r="I126">
        <v>8.4246841859231106E-2</v>
      </c>
      <c r="J126">
        <v>7.8638190643123204E-2</v>
      </c>
      <c r="K126">
        <v>7.5194683752192902E-3</v>
      </c>
      <c r="L126">
        <v>3.2906419548636899E-2</v>
      </c>
      <c r="M126">
        <v>8.3796044118095894E-2</v>
      </c>
      <c r="N126">
        <v>0.10218129409967799</v>
      </c>
      <c r="O126">
        <v>1.16906271495597E-2</v>
      </c>
      <c r="P126">
        <v>1.8473329950975899E-2</v>
      </c>
      <c r="Q126">
        <v>6.8664254698521096E-2</v>
      </c>
      <c r="R126">
        <v>-5.01</v>
      </c>
      <c r="S126">
        <v>-2.39</v>
      </c>
      <c r="T126">
        <v>-1.64</v>
      </c>
      <c r="U126">
        <v>0.02</v>
      </c>
      <c r="V126">
        <v>0.90044999999999997</v>
      </c>
      <c r="W126">
        <v>2.3376189681081302E-3</v>
      </c>
      <c r="X126">
        <v>-5.0099999999999999E-2</v>
      </c>
      <c r="Y126">
        <v>-2.3900000000000001E-2</v>
      </c>
      <c r="Z126">
        <v>-1.6400000000000001E-2</v>
      </c>
      <c r="AA126">
        <v>2.0000000000000001E-4</v>
      </c>
      <c r="AB126">
        <v>2.5380864919017899E-3</v>
      </c>
      <c r="AC126">
        <v>-4.7679028218400497E-2</v>
      </c>
      <c r="AD126">
        <v>-5.0217114710302303E-2</v>
      </c>
      <c r="AE126">
        <v>-2.39558690933378E-2</v>
      </c>
      <c r="AF126">
        <v>-1.6438336951077E-2</v>
      </c>
    </row>
    <row r="127" spans="1:32" x14ac:dyDescent="0.2">
      <c r="A127" s="1">
        <v>42582</v>
      </c>
      <c r="B127">
        <v>-1.5486739469988501E-2</v>
      </c>
      <c r="C127">
        <v>2.9715395159055399E-2</v>
      </c>
      <c r="D127">
        <v>4.2462789072119103E-2</v>
      </c>
      <c r="E127">
        <v>6.7901062207224904E-3</v>
      </c>
      <c r="F127">
        <v>9.2312925860877595E-2</v>
      </c>
      <c r="G127">
        <v>7.2951762899733499E-2</v>
      </c>
      <c r="H127">
        <v>4.7720730187960497E-2</v>
      </c>
      <c r="I127">
        <v>6.9851485154119694E-2</v>
      </c>
      <c r="J127">
        <v>8.7712458841487304E-2</v>
      </c>
      <c r="K127">
        <v>-1.44518567986942E-2</v>
      </c>
      <c r="L127">
        <v>2.22205785032056E-2</v>
      </c>
      <c r="M127">
        <v>5.7553200182621903E-2</v>
      </c>
      <c r="N127">
        <v>7.7077037629792899E-2</v>
      </c>
      <c r="O127">
        <v>-1.68854195400375E-2</v>
      </c>
      <c r="P127">
        <v>-8.9784470564803903E-3</v>
      </c>
      <c r="Q127">
        <v>3.6152842348096598E-2</v>
      </c>
      <c r="R127">
        <v>4.4400000000000004</v>
      </c>
      <c r="S127">
        <v>1.54</v>
      </c>
      <c r="T127">
        <v>0.21</v>
      </c>
      <c r="U127">
        <v>0.02</v>
      </c>
      <c r="V127">
        <v>0.89495000000000002</v>
      </c>
      <c r="W127">
        <v>-6.1080570825697801E-3</v>
      </c>
      <c r="X127">
        <v>4.4400000000000002E-2</v>
      </c>
      <c r="Y127">
        <v>1.54E-2</v>
      </c>
      <c r="Z127">
        <v>2.0999999999999999E-3</v>
      </c>
      <c r="AA127">
        <v>2.0000000000000001E-4</v>
      </c>
      <c r="AB127">
        <v>-5.9092786939862803E-3</v>
      </c>
      <c r="AC127">
        <v>3.8219523571547703E-2</v>
      </c>
      <c r="AD127">
        <v>4.4128802265533999E-2</v>
      </c>
      <c r="AE127">
        <v>1.5305935920928399E-2</v>
      </c>
      <c r="AF127">
        <v>2.0871730801266001E-3</v>
      </c>
    </row>
    <row r="128" spans="1:32" x14ac:dyDescent="0.2">
      <c r="A128" s="1">
        <v>42613</v>
      </c>
      <c r="B128">
        <v>-2.7661496664553E-2</v>
      </c>
      <c r="C128">
        <v>4.2596377096197902E-2</v>
      </c>
      <c r="D128">
        <v>2.3553878229455798E-2</v>
      </c>
      <c r="E128">
        <v>-9.1285118977006505E-3</v>
      </c>
      <c r="F128">
        <v>2.1562995353914701E-2</v>
      </c>
      <c r="G128">
        <v>7.9909019375247206E-2</v>
      </c>
      <c r="H128">
        <v>2.8077161909433102E-2</v>
      </c>
      <c r="I128">
        <v>5.1429744502161701E-2</v>
      </c>
      <c r="J128">
        <v>4.30488627613149E-2</v>
      </c>
      <c r="K128">
        <v>1.0481523872146299E-2</v>
      </c>
      <c r="L128">
        <v>1.67589370102245E-2</v>
      </c>
      <c r="M128">
        <v>6.2664033619495602E-2</v>
      </c>
      <c r="N128">
        <v>2.2929131771510899E-2</v>
      </c>
      <c r="O128">
        <v>-2.05908297287348E-3</v>
      </c>
      <c r="P128">
        <v>-1.04431860547514E-2</v>
      </c>
      <c r="Q128">
        <v>2.43882313859227E-2</v>
      </c>
      <c r="R128">
        <v>0.78</v>
      </c>
      <c r="S128">
        <v>1.61</v>
      </c>
      <c r="T128">
        <v>1.93</v>
      </c>
      <c r="U128">
        <v>0.02</v>
      </c>
      <c r="V128">
        <v>0.89615</v>
      </c>
      <c r="W128">
        <v>1.34085703111908E-3</v>
      </c>
      <c r="X128">
        <v>7.7999999999999996E-3</v>
      </c>
      <c r="Y128">
        <v>1.61E-2</v>
      </c>
      <c r="Z128">
        <v>1.9300000000000001E-2</v>
      </c>
      <c r="AA128">
        <v>2.0000000000000001E-4</v>
      </c>
      <c r="AB128">
        <v>1.54112520252525E-3</v>
      </c>
      <c r="AC128">
        <v>9.3515838873681201E-3</v>
      </c>
      <c r="AD128">
        <v>7.8104586848428701E-3</v>
      </c>
      <c r="AE128">
        <v>1.6121587798201002E-2</v>
      </c>
      <c r="AF128">
        <v>1.93258785407006E-2</v>
      </c>
    </row>
    <row r="129" spans="1:32" x14ac:dyDescent="0.2">
      <c r="A129" s="1">
        <v>42643</v>
      </c>
      <c r="B129">
        <v>-1.47324964960002E-2</v>
      </c>
      <c r="C129">
        <v>5.7132126837710497E-2</v>
      </c>
      <c r="D129">
        <v>5.0443777568460003E-2</v>
      </c>
      <c r="E129">
        <v>-9.0632042836939E-3</v>
      </c>
      <c r="F129">
        <v>2.2841408469564301E-2</v>
      </c>
      <c r="G129">
        <v>9.0268327282573599E-2</v>
      </c>
      <c r="H129">
        <v>2.3953443669802999E-2</v>
      </c>
      <c r="I129">
        <v>5.6456957587268299E-2</v>
      </c>
      <c r="J129">
        <v>6.4529927363367295E-2</v>
      </c>
      <c r="K129">
        <v>3.8870834478877701E-2</v>
      </c>
      <c r="L129">
        <v>2.3806776212715101E-2</v>
      </c>
      <c r="M129">
        <v>6.9010482371635901E-2</v>
      </c>
      <c r="N129">
        <v>1.8727133017915398E-2</v>
      </c>
      <c r="O129">
        <v>1.96365831472715E-2</v>
      </c>
      <c r="P129">
        <v>5.3294770755615197E-3</v>
      </c>
      <c r="Q129">
        <v>2.4714525208637799E-2</v>
      </c>
      <c r="R129">
        <v>0.95</v>
      </c>
      <c r="S129">
        <v>0.92</v>
      </c>
      <c r="T129">
        <v>-0.15</v>
      </c>
      <c r="U129">
        <v>0.02</v>
      </c>
      <c r="V129">
        <v>0.88959999999999995</v>
      </c>
      <c r="W129">
        <v>-7.3090442448251504E-3</v>
      </c>
      <c r="X129">
        <v>9.4999999999999998E-3</v>
      </c>
      <c r="Y129">
        <v>9.1999999999999998E-3</v>
      </c>
      <c r="Z129">
        <v>-1.5E-3</v>
      </c>
      <c r="AA129">
        <v>2.0000000000000001E-4</v>
      </c>
      <c r="AB129">
        <v>-7.1105060536741397E-3</v>
      </c>
      <c r="AC129">
        <v>2.3200580260000999E-3</v>
      </c>
      <c r="AD129">
        <v>9.4305640796742401E-3</v>
      </c>
      <c r="AE129">
        <v>9.1327567929476092E-3</v>
      </c>
      <c r="AF129">
        <v>-1.4890364336327599E-3</v>
      </c>
    </row>
    <row r="130" spans="1:32" x14ac:dyDescent="0.2">
      <c r="A130" s="1">
        <v>42674</v>
      </c>
      <c r="B130">
        <v>-1.9491591250353098E-2</v>
      </c>
      <c r="C130">
        <v>1.2844394077070701E-2</v>
      </c>
      <c r="D130">
        <v>6.6543783377289403E-2</v>
      </c>
      <c r="E130">
        <v>-6.4267979666095196E-3</v>
      </c>
      <c r="F130">
        <v>-1.9269959638871102E-2</v>
      </c>
      <c r="G130">
        <v>8.0720887323695395E-2</v>
      </c>
      <c r="H130">
        <v>5.4616149577057203E-2</v>
      </c>
      <c r="I130">
        <v>6.8162558795177797E-2</v>
      </c>
      <c r="J130">
        <v>4.6276823692593297E-2</v>
      </c>
      <c r="K130">
        <v>4.28467452198001E-2</v>
      </c>
      <c r="L130">
        <v>2.6764256168745899E-2</v>
      </c>
      <c r="M130">
        <v>7.6817353897268001E-2</v>
      </c>
      <c r="N130">
        <v>1.1726572284206899E-4</v>
      </c>
      <c r="O130">
        <v>1.02203732093284E-2</v>
      </c>
      <c r="P130">
        <v>3.4558628447870901E-2</v>
      </c>
      <c r="Q130">
        <v>3.6566942734234199E-2</v>
      </c>
      <c r="R130">
        <v>-3.08</v>
      </c>
      <c r="S130">
        <v>-0.77</v>
      </c>
      <c r="T130">
        <v>6.36</v>
      </c>
      <c r="U130">
        <v>0.02</v>
      </c>
      <c r="V130">
        <v>0.91064999999999996</v>
      </c>
      <c r="W130">
        <v>2.36623201438848E-2</v>
      </c>
      <c r="X130">
        <v>-3.0800000000000001E-2</v>
      </c>
      <c r="Y130">
        <v>-7.7000000000000002E-3</v>
      </c>
      <c r="Z130">
        <v>6.3600000000000004E-2</v>
      </c>
      <c r="AA130">
        <v>2.0000000000000001E-4</v>
      </c>
      <c r="AB130">
        <v>2.3867052607913702E-2</v>
      </c>
      <c r="AC130">
        <v>-7.6617468525181903E-3</v>
      </c>
      <c r="AD130">
        <v>-3.1528799460431897E-2</v>
      </c>
      <c r="AE130">
        <v>-7.8821998651079101E-3</v>
      </c>
      <c r="AF130">
        <v>6.5104923561151107E-2</v>
      </c>
    </row>
    <row r="131" spans="1:32" x14ac:dyDescent="0.2">
      <c r="A131" s="1">
        <v>42704</v>
      </c>
      <c r="B131">
        <v>1.18615880925517E-2</v>
      </c>
      <c r="C131">
        <v>2.8407968743672002E-3</v>
      </c>
      <c r="D131">
        <v>9.0923675741213905E-2</v>
      </c>
      <c r="E131">
        <v>-2.4003065259661501E-2</v>
      </c>
      <c r="F131">
        <v>1.5055732564736499E-2</v>
      </c>
      <c r="G131">
        <v>7.0683407721545896E-2</v>
      </c>
      <c r="H131">
        <v>9.8406004356050195E-2</v>
      </c>
      <c r="I131">
        <v>8.1900303127652799E-2</v>
      </c>
      <c r="J131">
        <v>5.5684812570907398E-2</v>
      </c>
      <c r="K131">
        <v>2.93850797775696E-2</v>
      </c>
      <c r="L131">
        <v>6.15516122283205E-2</v>
      </c>
      <c r="M131">
        <v>7.1870470142910606E-2</v>
      </c>
      <c r="N131">
        <v>-8.9450018626601995E-3</v>
      </c>
      <c r="O131">
        <v>6.5855888138562401E-3</v>
      </c>
      <c r="P131">
        <v>6.2680803788618206E-2</v>
      </c>
      <c r="Q131">
        <v>5.26170513216778E-2</v>
      </c>
      <c r="R131">
        <v>-2.5</v>
      </c>
      <c r="S131">
        <v>0.89</v>
      </c>
      <c r="T131">
        <v>1.92</v>
      </c>
      <c r="U131">
        <v>0.01</v>
      </c>
      <c r="V131">
        <v>0.94445000000000001</v>
      </c>
      <c r="W131">
        <v>3.7116345467523203E-2</v>
      </c>
      <c r="X131">
        <v>-2.5000000000000001E-2</v>
      </c>
      <c r="Y131">
        <v>8.8999999999999999E-3</v>
      </c>
      <c r="Z131">
        <v>1.9199999999999998E-2</v>
      </c>
      <c r="AA131">
        <v>1E-4</v>
      </c>
      <c r="AB131">
        <v>3.7220057102069999E-2</v>
      </c>
      <c r="AC131">
        <v>1.1292148465381799E-2</v>
      </c>
      <c r="AD131">
        <v>-2.5927908636688101E-2</v>
      </c>
      <c r="AE131">
        <v>9.2303354746609608E-3</v>
      </c>
      <c r="AF131">
        <v>1.9912633832976399E-2</v>
      </c>
    </row>
    <row r="132" spans="1:32" x14ac:dyDescent="0.2">
      <c r="A132" s="1">
        <v>42735</v>
      </c>
      <c r="B132">
        <v>-2.1587756742204402E-2</v>
      </c>
      <c r="C132">
        <v>-5.1751324647721503E-2</v>
      </c>
      <c r="D132">
        <v>7.06462122622383E-2</v>
      </c>
      <c r="E132">
        <v>-2.8851759775851998E-2</v>
      </c>
      <c r="F132">
        <v>-1.37316106967088E-2</v>
      </c>
      <c r="G132">
        <v>4.9757856190289398E-2</v>
      </c>
      <c r="H132">
        <v>0.101428757297961</v>
      </c>
      <c r="I132">
        <v>8.8671955875464406E-2</v>
      </c>
      <c r="J132">
        <v>1.19476351195899E-2</v>
      </c>
      <c r="K132">
        <v>1.30096945572413E-2</v>
      </c>
      <c r="L132">
        <v>8.1742698932746494E-2</v>
      </c>
      <c r="M132">
        <v>6.7257357320225197E-2</v>
      </c>
      <c r="N132">
        <v>-1.79235874362755E-2</v>
      </c>
      <c r="O132">
        <v>2.1402512479163902E-2</v>
      </c>
      <c r="P132">
        <v>8.9604691609545803E-2</v>
      </c>
      <c r="Q132">
        <v>6.5044167774758493E-2</v>
      </c>
      <c r="R132">
        <v>4.72</v>
      </c>
      <c r="S132">
        <v>-0.83</v>
      </c>
      <c r="T132">
        <v>1.99</v>
      </c>
      <c r="U132">
        <v>0.03</v>
      </c>
      <c r="V132">
        <v>0.95094999999999996</v>
      </c>
      <c r="W132">
        <v>6.8823124569854502E-3</v>
      </c>
      <c r="X132">
        <v>4.7199999999999999E-2</v>
      </c>
      <c r="Y132">
        <v>-8.3000000000000001E-3</v>
      </c>
      <c r="Z132">
        <v>1.9900000000000001E-2</v>
      </c>
      <c r="AA132">
        <v>2.9999999999999997E-4</v>
      </c>
      <c r="AB132">
        <v>7.1843771507225096E-3</v>
      </c>
      <c r="AC132">
        <v>5.4709222298692198E-2</v>
      </c>
      <c r="AD132">
        <v>4.7524845147969702E-2</v>
      </c>
      <c r="AE132">
        <v>-8.3571231933929797E-3</v>
      </c>
      <c r="AF132">
        <v>2.0036958017893999E-2</v>
      </c>
    </row>
    <row r="133" spans="1:32" x14ac:dyDescent="0.2">
      <c r="A133" s="1">
        <v>42766</v>
      </c>
      <c r="B133">
        <v>-2.3374208709717102E-2</v>
      </c>
      <c r="C133">
        <v>-6.22386990227407E-2</v>
      </c>
      <c r="D133">
        <v>2.61022850214905E-2</v>
      </c>
      <c r="E133">
        <v>-1.52156464470056E-2</v>
      </c>
      <c r="F133">
        <v>1.6567587347587901E-2</v>
      </c>
      <c r="G133">
        <v>1.9191063606922101E-2</v>
      </c>
      <c r="H133">
        <v>8.6582907241305296E-2</v>
      </c>
      <c r="I133">
        <v>0.108626633807303</v>
      </c>
      <c r="J133">
        <v>1.13900675501189E-2</v>
      </c>
      <c r="K133">
        <v>1.8830612807506902E-2</v>
      </c>
      <c r="L133">
        <v>0.11227369639669101</v>
      </c>
      <c r="M133">
        <v>7.8007327279045496E-2</v>
      </c>
      <c r="N133">
        <v>-6.7143487126214698E-3</v>
      </c>
      <c r="O133">
        <v>6.0901225829144E-2</v>
      </c>
      <c r="P133">
        <v>0.10625524260737799</v>
      </c>
      <c r="Q133">
        <v>0.10661534594152899</v>
      </c>
      <c r="R133">
        <v>2.84</v>
      </c>
      <c r="S133">
        <v>2.0299999999999998</v>
      </c>
      <c r="T133">
        <v>0.47</v>
      </c>
      <c r="U133">
        <v>0.04</v>
      </c>
      <c r="V133">
        <v>0.92610000000000003</v>
      </c>
      <c r="W133">
        <v>-2.6131762973868201E-2</v>
      </c>
      <c r="X133">
        <v>2.8400000000000002E-2</v>
      </c>
      <c r="Y133">
        <v>2.0299999999999999E-2</v>
      </c>
      <c r="Z133">
        <v>4.7000000000000002E-3</v>
      </c>
      <c r="AA133">
        <v>4.0000000000000002E-4</v>
      </c>
      <c r="AB133">
        <v>-2.5742215679057798E-2</v>
      </c>
      <c r="AC133">
        <v>1.91564225248442E-3</v>
      </c>
      <c r="AD133">
        <v>2.7657857931542199E-2</v>
      </c>
      <c r="AE133">
        <v>1.9769525211630501E-2</v>
      </c>
      <c r="AF133">
        <v>4.5771807140228202E-3</v>
      </c>
    </row>
    <row r="134" spans="1:32" x14ac:dyDescent="0.2">
      <c r="A134" s="1">
        <v>42794</v>
      </c>
      <c r="B134">
        <v>-3.21470505781494E-2</v>
      </c>
      <c r="C134">
        <v>-3.1188110190082202E-2</v>
      </c>
      <c r="D134">
        <v>1.06509522598714E-2</v>
      </c>
      <c r="E134">
        <v>2.4777844636493001E-2</v>
      </c>
      <c r="F134">
        <v>3.2530547716335002E-3</v>
      </c>
      <c r="G134">
        <v>4.2294953433979397E-2</v>
      </c>
      <c r="H134">
        <v>6.6510056985591995E-2</v>
      </c>
      <c r="I134">
        <v>0.150550223931638</v>
      </c>
      <c r="J134">
        <v>2.7935345944488502E-2</v>
      </c>
      <c r="K134">
        <v>4.4133792288038202E-2</v>
      </c>
      <c r="L134">
        <v>0.121591762192774</v>
      </c>
      <c r="M134">
        <v>0.12921917974153799</v>
      </c>
      <c r="N134">
        <v>2.0434751520489802E-2</v>
      </c>
      <c r="O134">
        <v>8.2503383768051802E-2</v>
      </c>
      <c r="P134">
        <v>0.116400671334592</v>
      </c>
      <c r="Q134">
        <v>0.14274754465271799</v>
      </c>
      <c r="R134">
        <v>0.68</v>
      </c>
      <c r="S134">
        <v>-0.04</v>
      </c>
      <c r="T134">
        <v>-2.6</v>
      </c>
      <c r="U134">
        <v>0.04</v>
      </c>
      <c r="V134">
        <v>0.94545000000000001</v>
      </c>
      <c r="W134">
        <v>2.0894071914480099E-2</v>
      </c>
      <c r="X134">
        <v>6.7999999999999996E-3</v>
      </c>
      <c r="Y134">
        <v>-4.0000000000000002E-4</v>
      </c>
      <c r="Z134">
        <v>-2.5999999999999999E-2</v>
      </c>
      <c r="AA134">
        <v>4.0000000000000002E-4</v>
      </c>
      <c r="AB134">
        <v>2.13024295432458E-2</v>
      </c>
      <c r="AC134">
        <v>2.8244509232264299E-2</v>
      </c>
      <c r="AD134">
        <v>6.9420796890184997E-3</v>
      </c>
      <c r="AE134">
        <v>-4.0835762876579202E-4</v>
      </c>
      <c r="AF134">
        <v>-2.6543245869776501E-2</v>
      </c>
    </row>
    <row r="135" spans="1:32" x14ac:dyDescent="0.2">
      <c r="A135" s="1">
        <v>42825</v>
      </c>
      <c r="B135">
        <v>3.1336253587273301E-2</v>
      </c>
      <c r="C135">
        <v>-3.23403717201858E-2</v>
      </c>
      <c r="D135">
        <v>3.5667427652620397E-2</v>
      </c>
      <c r="E135">
        <v>2.60109106333382E-2</v>
      </c>
      <c r="F135">
        <v>3.7575440277559402E-3</v>
      </c>
      <c r="G135">
        <v>2.8331443715173401E-2</v>
      </c>
      <c r="H135">
        <v>5.2900002531078197E-2</v>
      </c>
      <c r="I135">
        <v>0.15752068205720801</v>
      </c>
      <c r="J135">
        <v>7.3155311657161007E-2</v>
      </c>
      <c r="K135">
        <v>5.0146684673217E-2</v>
      </c>
      <c r="L135">
        <v>0.140294420286458</v>
      </c>
      <c r="M135">
        <v>0.164750431433377</v>
      </c>
      <c r="N135">
        <v>3.8948814916673798E-2</v>
      </c>
      <c r="O135">
        <v>9.4040461471219597E-2</v>
      </c>
      <c r="P135">
        <v>0.14139366635668499</v>
      </c>
      <c r="Q135">
        <v>0.177385213560841</v>
      </c>
      <c r="R135">
        <v>4.2699999999999996</v>
      </c>
      <c r="S135">
        <v>-1.3</v>
      </c>
      <c r="T135">
        <v>0.5</v>
      </c>
      <c r="U135">
        <v>0.03</v>
      </c>
      <c r="V135">
        <v>0.93869999999999998</v>
      </c>
      <c r="W135">
        <v>-7.1394574012375598E-3</v>
      </c>
      <c r="X135">
        <v>4.2700000000000002E-2</v>
      </c>
      <c r="Y135">
        <v>-1.2999999999999999E-2</v>
      </c>
      <c r="Z135">
        <v>5.0000000000000001E-3</v>
      </c>
      <c r="AA135">
        <v>2.9999999999999997E-4</v>
      </c>
      <c r="AB135">
        <v>-6.8415992384579499E-3</v>
      </c>
      <c r="AC135">
        <v>3.5553545930509203E-2</v>
      </c>
      <c r="AD135">
        <v>4.2395145168967099E-2</v>
      </c>
      <c r="AE135">
        <v>-1.29071870537839E-2</v>
      </c>
      <c r="AF135">
        <v>4.9643027129938101E-3</v>
      </c>
    </row>
    <row r="136" spans="1:32" x14ac:dyDescent="0.2">
      <c r="A136" s="1">
        <v>42855</v>
      </c>
      <c r="B136">
        <v>6.52049145480771E-2</v>
      </c>
      <c r="C136">
        <v>-2.7085624472173098E-2</v>
      </c>
      <c r="D136">
        <v>6.32755289687887E-2</v>
      </c>
      <c r="E136">
        <v>-3.7340980967310602E-4</v>
      </c>
      <c r="F136">
        <v>-4.3332108718800701E-2</v>
      </c>
      <c r="G136">
        <v>8.1779435636982391E-3</v>
      </c>
      <c r="H136">
        <v>4.25773733987828E-2</v>
      </c>
      <c r="I136">
        <v>0.131498733326286</v>
      </c>
      <c r="J136">
        <v>6.2653007120655205E-2</v>
      </c>
      <c r="K136">
        <v>4.8004633507229499E-2</v>
      </c>
      <c r="L136">
        <v>0.145455722467977</v>
      </c>
      <c r="M136">
        <v>0.17185556889581499</v>
      </c>
      <c r="N136">
        <v>4.86747096942962E-2</v>
      </c>
      <c r="O136">
        <v>0.105057887572706</v>
      </c>
      <c r="P136">
        <v>0.180814959113445</v>
      </c>
      <c r="Q136">
        <v>0.19639873042536099</v>
      </c>
      <c r="R136">
        <v>4.63</v>
      </c>
      <c r="S136">
        <v>1.91</v>
      </c>
      <c r="T136">
        <v>-1.3</v>
      </c>
      <c r="U136">
        <v>0.05</v>
      </c>
      <c r="V136">
        <v>0.91769999999999996</v>
      </c>
      <c r="W136">
        <v>-2.2371364653243901E-2</v>
      </c>
      <c r="X136">
        <v>4.6300000000000001E-2</v>
      </c>
      <c r="Y136">
        <v>1.9099999999999999E-2</v>
      </c>
      <c r="Z136">
        <v>-1.2999999999999999E-2</v>
      </c>
      <c r="AA136">
        <v>5.0000000000000001E-4</v>
      </c>
      <c r="AB136">
        <v>-2.1882550335570499E-2</v>
      </c>
      <c r="AC136">
        <v>2.3381655480984299E-2</v>
      </c>
      <c r="AD136">
        <v>4.5264205816554798E-2</v>
      </c>
      <c r="AE136">
        <v>1.8672706935123001E-2</v>
      </c>
      <c r="AF136">
        <v>-1.27091722595078E-2</v>
      </c>
    </row>
    <row r="137" spans="1:32" x14ac:dyDescent="0.2">
      <c r="A137" s="1">
        <v>42886</v>
      </c>
      <c r="B137">
        <v>4.51754454853458E-2</v>
      </c>
      <c r="C137">
        <v>-2.0611448735813599E-2</v>
      </c>
      <c r="D137">
        <v>6.3695839724649206E-2</v>
      </c>
      <c r="E137">
        <v>-2.904214214702E-2</v>
      </c>
      <c r="F137">
        <v>-3.8015727263183099E-2</v>
      </c>
      <c r="G137">
        <v>-8.8216816762623895E-3</v>
      </c>
      <c r="H137">
        <v>6.10715939308136E-2</v>
      </c>
      <c r="I137">
        <v>9.8333587391396193E-2</v>
      </c>
      <c r="J137">
        <v>3.0369254747417401E-2</v>
      </c>
      <c r="K137">
        <v>5.27202278514785E-2</v>
      </c>
      <c r="L137">
        <v>0.14235179450410601</v>
      </c>
      <c r="M137">
        <v>0.15268266072886699</v>
      </c>
      <c r="N137">
        <v>4.0007073726893203E-2</v>
      </c>
      <c r="O137">
        <v>0.113770529138319</v>
      </c>
      <c r="P137">
        <v>0.18851442829453</v>
      </c>
      <c r="Q137">
        <v>0.18538368251179499</v>
      </c>
      <c r="R137">
        <v>5.03</v>
      </c>
      <c r="S137">
        <v>0.02</v>
      </c>
      <c r="T137">
        <v>-0.79</v>
      </c>
      <c r="U137">
        <v>0.06</v>
      </c>
      <c r="V137">
        <v>0.88939999999999997</v>
      </c>
      <c r="W137">
        <v>-3.0837964476408401E-2</v>
      </c>
      <c r="X137">
        <v>5.0299999999999997E-2</v>
      </c>
      <c r="Y137">
        <v>2.0000000000000001E-4</v>
      </c>
      <c r="Z137">
        <v>-7.9000000000000008E-3</v>
      </c>
      <c r="AA137">
        <v>5.9999999999999995E-4</v>
      </c>
      <c r="AB137">
        <v>-3.0256467255094299E-2</v>
      </c>
      <c r="AC137">
        <v>1.8492383131742299E-2</v>
      </c>
      <c r="AD137">
        <v>4.8748850386836601E-2</v>
      </c>
      <c r="AE137">
        <v>1.93832407104718E-4</v>
      </c>
      <c r="AF137">
        <v>-7.6563800806363699E-3</v>
      </c>
    </row>
    <row r="138" spans="1:32" x14ac:dyDescent="0.2">
      <c r="A138" s="1">
        <v>42916</v>
      </c>
      <c r="B138">
        <v>-7.9425205269483892E-3</v>
      </c>
      <c r="C138">
        <v>2.1517281955239002E-2</v>
      </c>
      <c r="D138">
        <v>3.7186559735568697E-2</v>
      </c>
      <c r="E138">
        <v>-3.3755643518893E-2</v>
      </c>
      <c r="F138">
        <v>-6.0645091356260498E-2</v>
      </c>
      <c r="G138">
        <v>-1.56150109834267E-2</v>
      </c>
      <c r="H138">
        <v>3.91459339005392E-2</v>
      </c>
      <c r="I138">
        <v>6.1830371854812299E-2</v>
      </c>
      <c r="J138">
        <v>-1.9209808943381999E-2</v>
      </c>
      <c r="K138">
        <v>6.3396466798463294E-2</v>
      </c>
      <c r="L138">
        <v>0.122110714066778</v>
      </c>
      <c r="M138">
        <v>0.13835184093526701</v>
      </c>
      <c r="N138">
        <v>1.9875302295053899E-2</v>
      </c>
      <c r="O138">
        <v>0.123282854507462</v>
      </c>
      <c r="P138">
        <v>0.17753951903145501</v>
      </c>
      <c r="Q138">
        <v>0.186156239259328</v>
      </c>
      <c r="R138">
        <v>-0.67</v>
      </c>
      <c r="S138">
        <v>1.55</v>
      </c>
      <c r="T138">
        <v>2.0299999999999998</v>
      </c>
      <c r="U138">
        <v>0.06</v>
      </c>
      <c r="V138">
        <v>0.87519999999999998</v>
      </c>
      <c r="W138">
        <v>-1.5965819653699101E-2</v>
      </c>
      <c r="X138">
        <v>-6.7000000000000002E-3</v>
      </c>
      <c r="Y138">
        <v>1.55E-2</v>
      </c>
      <c r="Z138">
        <v>2.0299999999999999E-2</v>
      </c>
      <c r="AA138">
        <v>5.9999999999999995E-4</v>
      </c>
      <c r="AB138">
        <v>-1.53753991454915E-2</v>
      </c>
      <c r="AC138">
        <v>-2.1968428153811701E-2</v>
      </c>
      <c r="AD138">
        <v>-6.5930290083202597E-3</v>
      </c>
      <c r="AE138">
        <v>1.52525297953677E-2</v>
      </c>
      <c r="AF138">
        <v>1.9975893861029902E-2</v>
      </c>
    </row>
    <row r="139" spans="1:32" x14ac:dyDescent="0.2">
      <c r="A139" s="1">
        <v>42947</v>
      </c>
      <c r="B139">
        <v>-5.09347513648713E-2</v>
      </c>
      <c r="C139">
        <v>2.5583458804403599E-2</v>
      </c>
      <c r="D139">
        <v>2.50765180460772E-2</v>
      </c>
      <c r="E139">
        <v>-4.1638065155661798E-2</v>
      </c>
      <c r="F139">
        <v>-5.33793066045695E-2</v>
      </c>
      <c r="G139">
        <v>-1.6464675210258101E-2</v>
      </c>
      <c r="H139">
        <v>3.4262639813620798E-3</v>
      </c>
      <c r="I139">
        <v>1.5638155364292299E-2</v>
      </c>
      <c r="J139">
        <v>-3.2123098430765003E-2</v>
      </c>
      <c r="K139">
        <v>6.02211528877582E-2</v>
      </c>
      <c r="L139">
        <v>9.56478296550448E-2</v>
      </c>
      <c r="M139">
        <v>0.110617487148921</v>
      </c>
      <c r="N139">
        <v>1.3501743068251E-2</v>
      </c>
      <c r="O139">
        <v>0.124972448461017</v>
      </c>
      <c r="P139">
        <v>0.158229157405648</v>
      </c>
      <c r="Q139">
        <v>0.18080918785057101</v>
      </c>
      <c r="R139">
        <v>3.49</v>
      </c>
      <c r="S139">
        <v>0.8</v>
      </c>
      <c r="T139">
        <v>2.59</v>
      </c>
      <c r="U139">
        <v>7.0000000000000007E-2</v>
      </c>
      <c r="V139">
        <v>0.84445000000000003</v>
      </c>
      <c r="W139">
        <v>-3.5134826325411303E-2</v>
      </c>
      <c r="X139">
        <v>3.49E-2</v>
      </c>
      <c r="Y139">
        <v>8.0000000000000002E-3</v>
      </c>
      <c r="Z139">
        <v>2.5899999999999999E-2</v>
      </c>
      <c r="AA139">
        <v>6.9999999999999999E-4</v>
      </c>
      <c r="AB139">
        <v>-3.44594207038392E-2</v>
      </c>
      <c r="AC139">
        <v>-7.8562614259614105E-4</v>
      </c>
      <c r="AD139">
        <v>3.3673794561243101E-2</v>
      </c>
      <c r="AE139">
        <v>7.7189213893967103E-3</v>
      </c>
      <c r="AF139">
        <v>2.49900079981718E-2</v>
      </c>
    </row>
    <row r="140" spans="1:32" x14ac:dyDescent="0.2">
      <c r="A140" s="1">
        <v>42978</v>
      </c>
      <c r="B140">
        <v>-7.7463890046429507E-2</v>
      </c>
      <c r="C140">
        <v>-6.9262100076689301E-3</v>
      </c>
      <c r="D140">
        <v>1.40074494585034E-2</v>
      </c>
      <c r="E140">
        <v>-3.6922941805997998E-2</v>
      </c>
      <c r="F140">
        <v>-3.8386902853613E-2</v>
      </c>
      <c r="G140">
        <v>-1.9855524931307201E-2</v>
      </c>
      <c r="H140">
        <v>-2.9284994195347601E-2</v>
      </c>
      <c r="I140">
        <v>-8.0911296554926203E-4</v>
      </c>
      <c r="J140">
        <v>-2.44585260492363E-2</v>
      </c>
      <c r="K140">
        <v>4.8817804911489703E-2</v>
      </c>
      <c r="L140">
        <v>6.1436447612247799E-2</v>
      </c>
      <c r="M140">
        <v>7.2438547370023601E-2</v>
      </c>
      <c r="N140">
        <v>4.69029382302501E-3</v>
      </c>
      <c r="O140">
        <v>0.121971826952782</v>
      </c>
      <c r="P140">
        <v>0.13946133429070301</v>
      </c>
      <c r="Q140">
        <v>0.168280912619969</v>
      </c>
      <c r="R140">
        <v>0.11</v>
      </c>
      <c r="S140">
        <v>-0.06</v>
      </c>
      <c r="T140">
        <v>-0.71</v>
      </c>
      <c r="U140">
        <v>0.09</v>
      </c>
      <c r="V140">
        <v>0.83965000000000001</v>
      </c>
      <c r="W140">
        <v>-5.6841731304400102E-3</v>
      </c>
      <c r="X140">
        <v>1.1000000000000001E-3</v>
      </c>
      <c r="Y140">
        <v>-5.9999999999999995E-4</v>
      </c>
      <c r="Z140">
        <v>-7.1000000000000004E-3</v>
      </c>
      <c r="AA140">
        <v>8.9999999999999998E-4</v>
      </c>
      <c r="AB140">
        <v>-4.7892888862575101E-3</v>
      </c>
      <c r="AC140">
        <v>-3.6955414767009301E-3</v>
      </c>
      <c r="AD140">
        <v>1.09374740955659E-3</v>
      </c>
      <c r="AE140">
        <v>-5.9658949612173605E-4</v>
      </c>
      <c r="AF140">
        <v>-7.05964237077388E-3</v>
      </c>
    </row>
    <row r="141" spans="1:32" x14ac:dyDescent="0.2">
      <c r="A141" s="1">
        <v>43008</v>
      </c>
      <c r="B141">
        <v>-0.101443394222323</v>
      </c>
      <c r="C141">
        <v>-4.8372672146431997E-2</v>
      </c>
      <c r="D141">
        <v>7.8807247192361693E-3</v>
      </c>
      <c r="E141">
        <v>-6.5357029702203306E-2</v>
      </c>
      <c r="F141">
        <v>3.6958909938407899E-3</v>
      </c>
      <c r="G141">
        <v>-6.5612502099698404E-3</v>
      </c>
      <c r="H141">
        <v>-3.5652129485316597E-2</v>
      </c>
      <c r="I141">
        <v>-2.4923720207945699E-2</v>
      </c>
      <c r="J141">
        <v>4.6526699936630302E-3</v>
      </c>
      <c r="K141">
        <v>1.7287041509471801E-2</v>
      </c>
      <c r="L141">
        <v>4.3870184947508002E-2</v>
      </c>
      <c r="M141">
        <v>4.13383483928427E-2</v>
      </c>
      <c r="N141">
        <v>-3.45311083652655E-3</v>
      </c>
      <c r="O141">
        <v>0.10136630610627</v>
      </c>
      <c r="P141">
        <v>0.12418372869970901</v>
      </c>
      <c r="Q141">
        <v>0.13343117514862199</v>
      </c>
      <c r="R141">
        <v>2.72</v>
      </c>
      <c r="S141">
        <v>-0.12</v>
      </c>
      <c r="T141">
        <v>0.47</v>
      </c>
      <c r="U141">
        <v>0.09</v>
      </c>
      <c r="V141">
        <v>0.84645000000000004</v>
      </c>
      <c r="W141">
        <v>8.0986125171202995E-3</v>
      </c>
      <c r="X141">
        <v>2.7199999999999998E-2</v>
      </c>
      <c r="Y141">
        <v>-1.1999999999999999E-3</v>
      </c>
      <c r="Z141">
        <v>4.7000000000000002E-3</v>
      </c>
      <c r="AA141">
        <v>8.9999999999999998E-4</v>
      </c>
      <c r="AB141">
        <v>9.0059012683856299E-3</v>
      </c>
      <c r="AC141">
        <v>3.6426183528851103E-2</v>
      </c>
      <c r="AD141">
        <v>2.74202822604654E-2</v>
      </c>
      <c r="AE141">
        <v>-1.20971833502054E-3</v>
      </c>
      <c r="AF141">
        <v>4.7380634788304603E-3</v>
      </c>
    </row>
    <row r="142" spans="1:32" x14ac:dyDescent="0.2">
      <c r="A142" s="1">
        <v>43039</v>
      </c>
      <c r="B142">
        <v>-5.8455932432557201E-2</v>
      </c>
      <c r="C142">
        <v>-2.8754096824975098E-2</v>
      </c>
      <c r="D142">
        <v>4.6162096622563098E-2</v>
      </c>
      <c r="E142">
        <v>-4.8170544827675299E-2</v>
      </c>
      <c r="F142">
        <v>4.7854209045803002E-2</v>
      </c>
      <c r="G142">
        <v>3.0720723126616702E-2</v>
      </c>
      <c r="H142">
        <v>-1.5070200605595401E-2</v>
      </c>
      <c r="I142">
        <v>-2.5141404787834699E-2</v>
      </c>
      <c r="J142">
        <v>4.2753201255770298E-2</v>
      </c>
      <c r="K142">
        <v>1.93293635596434E-2</v>
      </c>
      <c r="L142">
        <v>2.7814992968528199E-2</v>
      </c>
      <c r="M142">
        <v>1.23335781809554E-2</v>
      </c>
      <c r="N142">
        <v>9.5843856973711408E-3</v>
      </c>
      <c r="O142">
        <v>8.7246331172618999E-2</v>
      </c>
      <c r="P142">
        <v>0.120559923670176</v>
      </c>
      <c r="Q142">
        <v>0.115689166823582</v>
      </c>
      <c r="R142">
        <v>0.59</v>
      </c>
      <c r="S142">
        <v>-0.96</v>
      </c>
      <c r="T142">
        <v>-0.13</v>
      </c>
      <c r="U142">
        <v>0.09</v>
      </c>
      <c r="V142">
        <v>0.85865000000000002</v>
      </c>
      <c r="W142">
        <v>1.44131372201548E-2</v>
      </c>
      <c r="X142">
        <v>5.8999999999999999E-3</v>
      </c>
      <c r="Y142">
        <v>-9.5999999999999992E-3</v>
      </c>
      <c r="Z142">
        <v>-1.2999999999999999E-3</v>
      </c>
      <c r="AA142">
        <v>8.9999999999999998E-4</v>
      </c>
      <c r="AB142">
        <v>1.53261090436529E-2</v>
      </c>
      <c r="AC142">
        <v>2.1311146553251802E-2</v>
      </c>
      <c r="AD142">
        <v>5.9850375095988903E-3</v>
      </c>
      <c r="AE142">
        <v>-9.7383661173134906E-3</v>
      </c>
      <c r="AF142">
        <v>-1.3187370783862E-3</v>
      </c>
    </row>
    <row r="143" spans="1:32" x14ac:dyDescent="0.2">
      <c r="A143" s="1">
        <v>43069</v>
      </c>
      <c r="B143">
        <v>-1.3512422638563301E-2</v>
      </c>
      <c r="C143">
        <v>-3.61181051601989E-2</v>
      </c>
      <c r="D143">
        <v>4.1471590803443703E-2</v>
      </c>
      <c r="E143">
        <v>-2.8492348156935701E-2</v>
      </c>
      <c r="F143">
        <v>3.9783544293640498E-2</v>
      </c>
      <c r="G143">
        <v>2.44158527274736E-2</v>
      </c>
      <c r="H143">
        <v>-9.0917188279552603E-3</v>
      </c>
      <c r="I143">
        <v>-3.11992007490276E-2</v>
      </c>
      <c r="J143">
        <v>2.80973501453529E-2</v>
      </c>
      <c r="K143">
        <v>-7.6725729269141998E-3</v>
      </c>
      <c r="L143">
        <v>-2.8622621612974801E-3</v>
      </c>
      <c r="M143">
        <v>-5.9829648969649098E-3</v>
      </c>
      <c r="N143">
        <v>1.53472891341774E-2</v>
      </c>
      <c r="O143">
        <v>3.6203911219016997E-2</v>
      </c>
      <c r="P143">
        <v>8.5345638858821293E-2</v>
      </c>
      <c r="Q143">
        <v>8.3698579657141406E-2</v>
      </c>
      <c r="R143">
        <v>-0.01</v>
      </c>
      <c r="S143">
        <v>-0.38</v>
      </c>
      <c r="T143">
        <v>1.29</v>
      </c>
      <c r="U143">
        <v>0.08</v>
      </c>
      <c r="V143">
        <v>0.84004999999999996</v>
      </c>
      <c r="W143">
        <v>-2.16619111395796E-2</v>
      </c>
      <c r="X143">
        <v>-1E-4</v>
      </c>
      <c r="Y143">
        <v>-3.8E-3</v>
      </c>
      <c r="Z143">
        <v>1.29E-2</v>
      </c>
      <c r="AA143">
        <v>8.0000000000000004E-4</v>
      </c>
      <c r="AB143">
        <v>-2.0879240668491301E-2</v>
      </c>
      <c r="AC143">
        <v>-2.09770744773774E-2</v>
      </c>
      <c r="AD143">
        <v>-9.7833808886060899E-5</v>
      </c>
      <c r="AE143">
        <v>-3.7176847376696001E-3</v>
      </c>
      <c r="AF143">
        <v>1.26205613462994E-2</v>
      </c>
    </row>
    <row r="144" spans="1:32" x14ac:dyDescent="0.2">
      <c r="A144" s="1">
        <v>43100</v>
      </c>
      <c r="B144">
        <v>-1.06088466217991E-2</v>
      </c>
      <c r="C144">
        <v>-6.09779111745202E-2</v>
      </c>
      <c r="D144">
        <v>-6.5278370571880302E-3</v>
      </c>
      <c r="E144">
        <v>-2.89400702154653E-2</v>
      </c>
      <c r="F144">
        <v>9.1377221089570301E-3</v>
      </c>
      <c r="G144">
        <v>3.17248156731086E-2</v>
      </c>
      <c r="H144">
        <v>-1.38123695556421E-2</v>
      </c>
      <c r="I144">
        <v>-3.3480985518716498E-2</v>
      </c>
      <c r="J144">
        <v>-4.1843451556086301E-3</v>
      </c>
      <c r="K144">
        <v>-1.3736918264842199E-2</v>
      </c>
      <c r="L144">
        <v>-2.1915838571190699E-2</v>
      </c>
      <c r="M144">
        <v>-9.2268600704035197E-3</v>
      </c>
      <c r="N144">
        <v>-6.9899005482146198E-3</v>
      </c>
      <c r="O144">
        <v>-2.9378170019706698E-3</v>
      </c>
      <c r="P144">
        <v>4.8223448496064802E-2</v>
      </c>
      <c r="Q144">
        <v>5.2695451107654001E-2</v>
      </c>
      <c r="R144">
        <v>1.47</v>
      </c>
      <c r="S144">
        <v>1.55</v>
      </c>
      <c r="T144">
        <v>0.5</v>
      </c>
      <c r="U144">
        <v>0.09</v>
      </c>
      <c r="V144">
        <v>0.83345000000000002</v>
      </c>
      <c r="W144">
        <v>-7.8566751979047798E-3</v>
      </c>
      <c r="X144">
        <v>1.47E-2</v>
      </c>
      <c r="Y144">
        <v>1.55E-2</v>
      </c>
      <c r="Z144">
        <v>5.0000000000000001E-3</v>
      </c>
      <c r="AA144">
        <v>8.9999999999999998E-4</v>
      </c>
      <c r="AB144">
        <v>-6.96374620558304E-3</v>
      </c>
      <c r="AC144">
        <v>7.6207606690077397E-3</v>
      </c>
      <c r="AD144">
        <v>1.45845068745908E-2</v>
      </c>
      <c r="AE144">
        <v>1.5378221534432499E-2</v>
      </c>
      <c r="AF144">
        <v>4.96071662401048E-3</v>
      </c>
    </row>
    <row r="145" spans="1:32" x14ac:dyDescent="0.2">
      <c r="A145" s="1">
        <v>43131</v>
      </c>
      <c r="B145">
        <v>-4.0463405318208599E-2</v>
      </c>
      <c r="C145">
        <v>-5.7784860040741598E-2</v>
      </c>
      <c r="D145">
        <v>-4.33399893634255E-2</v>
      </c>
      <c r="E145">
        <v>-2.8840718457705999E-2</v>
      </c>
      <c r="F145">
        <v>1.7824257083232702E-2</v>
      </c>
      <c r="G145">
        <v>7.5712643503233798E-2</v>
      </c>
      <c r="H145">
        <v>-9.8719810510250602E-4</v>
      </c>
      <c r="I145">
        <v>-2.90688139249838E-2</v>
      </c>
      <c r="J145">
        <v>6.7689413349616501E-3</v>
      </c>
      <c r="K145">
        <v>1.47414057109131E-2</v>
      </c>
      <c r="L145">
        <v>-1.12251917387408E-2</v>
      </c>
      <c r="M145">
        <v>4.6912851900374701E-4</v>
      </c>
      <c r="N145">
        <v>-3.8815676243898499E-2</v>
      </c>
      <c r="O145">
        <v>-1.7467654138645101E-2</v>
      </c>
      <c r="P145">
        <v>3.8391504150356399E-3</v>
      </c>
      <c r="Q145">
        <v>2.8072467682543401E-2</v>
      </c>
      <c r="R145">
        <v>5.52</v>
      </c>
      <c r="S145">
        <v>0.8</v>
      </c>
      <c r="T145">
        <v>1.1000000000000001</v>
      </c>
      <c r="U145">
        <v>0.11</v>
      </c>
      <c r="V145">
        <v>0.80510000000000004</v>
      </c>
      <c r="W145">
        <v>-3.4015237866698703E-2</v>
      </c>
      <c r="X145">
        <v>5.5199999999999999E-2</v>
      </c>
      <c r="Y145">
        <v>8.0000000000000002E-3</v>
      </c>
      <c r="Z145">
        <v>1.0999999999999999E-2</v>
      </c>
      <c r="AA145">
        <v>1.1000000000000001E-3</v>
      </c>
      <c r="AB145">
        <v>-3.2952654628352E-2</v>
      </c>
      <c r="AC145">
        <v>2.0369704241406199E-2</v>
      </c>
      <c r="AD145">
        <v>5.3322358869758099E-2</v>
      </c>
      <c r="AE145">
        <v>7.7278780970664101E-3</v>
      </c>
      <c r="AF145">
        <v>1.06258323834663E-2</v>
      </c>
    </row>
    <row r="146" spans="1:32" x14ac:dyDescent="0.2">
      <c r="A146" s="1">
        <v>43159</v>
      </c>
      <c r="B146">
        <v>-7.3890281620868997E-2</v>
      </c>
      <c r="C146">
        <v>-5.6483669059172098E-2</v>
      </c>
      <c r="D146">
        <v>-7.5137687055820301E-2</v>
      </c>
      <c r="E146">
        <v>-6.2434540958801098E-2</v>
      </c>
      <c r="F146">
        <v>4.7874725242753897E-3</v>
      </c>
      <c r="G146">
        <v>7.4856893730275306E-2</v>
      </c>
      <c r="H146">
        <v>-1.8153559958385801E-2</v>
      </c>
      <c r="I146">
        <v>-4.2527494285747897E-2</v>
      </c>
      <c r="J146">
        <v>3.3838616752827101E-2</v>
      </c>
      <c r="K146">
        <v>1.39699028869765E-2</v>
      </c>
      <c r="L146">
        <v>-1.7453453811845598E-2</v>
      </c>
      <c r="M146">
        <v>-1.51519156574818E-2</v>
      </c>
      <c r="N146">
        <v>-9.0848568863280701E-2</v>
      </c>
      <c r="O146">
        <v>-4.7969987490549502E-2</v>
      </c>
      <c r="P146">
        <v>-3.0910277103428901E-2</v>
      </c>
      <c r="Q146">
        <v>4.0384167652158702E-3</v>
      </c>
      <c r="R146">
        <v>-5.35</v>
      </c>
      <c r="S146">
        <v>1.22</v>
      </c>
      <c r="T146">
        <v>-0.75</v>
      </c>
      <c r="U146">
        <v>0.11</v>
      </c>
      <c r="V146">
        <v>0.82004999999999995</v>
      </c>
      <c r="W146">
        <v>1.8569121848217601E-2</v>
      </c>
      <c r="X146">
        <v>-5.3499999999999999E-2</v>
      </c>
      <c r="Y146">
        <v>1.2200000000000001E-2</v>
      </c>
      <c r="Z146">
        <v>-7.4999999999999997E-3</v>
      </c>
      <c r="AA146">
        <v>1.1000000000000001E-3</v>
      </c>
      <c r="AB146">
        <v>1.9689547882250701E-2</v>
      </c>
      <c r="AC146">
        <v>-3.4803900136628901E-2</v>
      </c>
      <c r="AD146">
        <v>-5.4493448018879703E-2</v>
      </c>
      <c r="AE146">
        <v>1.2426543286548301E-2</v>
      </c>
      <c r="AF146">
        <v>-7.6392684138616301E-3</v>
      </c>
    </row>
    <row r="147" spans="1:32" x14ac:dyDescent="0.2">
      <c r="A147" s="1">
        <v>43190</v>
      </c>
      <c r="B147">
        <v>2.5190306911773E-2</v>
      </c>
      <c r="C147">
        <v>-1.6802236131833601E-2</v>
      </c>
      <c r="D147">
        <v>-7.5204161983122395E-2</v>
      </c>
      <c r="E147">
        <v>-7.27351854217268E-2</v>
      </c>
      <c r="F147">
        <v>8.5173042042953798E-2</v>
      </c>
      <c r="G147">
        <v>8.8769311007756202E-2</v>
      </c>
      <c r="H147">
        <v>-8.1230258997262994E-3</v>
      </c>
      <c r="I147">
        <v>-5.7319384062591697E-2</v>
      </c>
      <c r="J147">
        <v>0.128951397712461</v>
      </c>
      <c r="K147">
        <v>3.5308911534192501E-2</v>
      </c>
      <c r="L147">
        <v>-1.92844416651312E-2</v>
      </c>
      <c r="M147">
        <v>-3.0505266494130202E-2</v>
      </c>
      <c r="N147">
        <v>-1.4678586591025999E-2</v>
      </c>
      <c r="O147">
        <v>-2.5624312845222701E-2</v>
      </c>
      <c r="P147">
        <v>-3.6447518927878203E-2</v>
      </c>
      <c r="Q147">
        <v>-3.58901034484015E-3</v>
      </c>
      <c r="R147">
        <v>-0.71</v>
      </c>
      <c r="S147">
        <v>-0.56000000000000005</v>
      </c>
      <c r="T147">
        <v>-0.94</v>
      </c>
      <c r="U147">
        <v>0.12</v>
      </c>
      <c r="V147">
        <v>0.8115</v>
      </c>
      <c r="W147">
        <v>-1.0426193524785E-2</v>
      </c>
      <c r="X147">
        <v>-7.1000000000000004E-3</v>
      </c>
      <c r="Y147">
        <v>-5.5999999999999999E-3</v>
      </c>
      <c r="Z147">
        <v>-9.4000000000000004E-3</v>
      </c>
      <c r="AA147">
        <v>1.1999999999999999E-3</v>
      </c>
      <c r="AB147">
        <v>-9.2387049570146207E-3</v>
      </c>
      <c r="AC147">
        <v>-1.6264678982988699E-2</v>
      </c>
      <c r="AD147">
        <v>-7.0259740259740501E-3</v>
      </c>
      <c r="AE147">
        <v>-5.5416133162612003E-3</v>
      </c>
      <c r="AF147">
        <v>-9.3019937808670201E-3</v>
      </c>
    </row>
    <row r="148" spans="1:32" x14ac:dyDescent="0.2">
      <c r="A148" s="1">
        <v>43220</v>
      </c>
      <c r="B148">
        <v>8.1379181645778398E-2</v>
      </c>
      <c r="C148">
        <v>-2.90493008609857E-2</v>
      </c>
      <c r="D148">
        <v>-6.2114314230228701E-2</v>
      </c>
      <c r="E148">
        <v>-5.8654461111286797E-2</v>
      </c>
      <c r="F148">
        <v>0.113643889172152</v>
      </c>
      <c r="G148">
        <v>7.5271802260526502E-2</v>
      </c>
      <c r="H148">
        <v>1.21096778867753E-2</v>
      </c>
      <c r="I148">
        <v>-3.2865419240972499E-2</v>
      </c>
      <c r="J148">
        <v>0.15142973090932699</v>
      </c>
      <c r="K148">
        <v>3.1887143125806199E-2</v>
      </c>
      <c r="L148">
        <v>-1.14414892638964E-2</v>
      </c>
      <c r="M148">
        <v>-2.8152171434169499E-2</v>
      </c>
      <c r="N148">
        <v>2.9361560217735901E-2</v>
      </c>
      <c r="O148">
        <v>-1.99139739605096E-2</v>
      </c>
      <c r="P148">
        <v>-2.6924398569774102E-2</v>
      </c>
      <c r="Q148">
        <v>-1.0417343615088301E-2</v>
      </c>
      <c r="R148">
        <v>2.2000000000000002</v>
      </c>
      <c r="S148">
        <v>-0.74</v>
      </c>
      <c r="T148">
        <v>1.51</v>
      </c>
      <c r="U148">
        <v>0.14000000000000001</v>
      </c>
      <c r="V148">
        <v>0.82789999999999997</v>
      </c>
      <c r="W148">
        <v>2.0209488601355501E-2</v>
      </c>
      <c r="X148">
        <v>2.1999999999999999E-2</v>
      </c>
      <c r="Y148">
        <v>-7.4000000000000003E-3</v>
      </c>
      <c r="Z148">
        <v>1.5100000000000001E-2</v>
      </c>
      <c r="AA148">
        <v>1.4E-3</v>
      </c>
      <c r="AB148">
        <v>2.16377818853974E-2</v>
      </c>
      <c r="AC148">
        <v>4.4082390634627301E-2</v>
      </c>
      <c r="AD148">
        <v>2.2444608749229801E-2</v>
      </c>
      <c r="AE148">
        <v>-7.5495502156500303E-3</v>
      </c>
      <c r="AF148">
        <v>1.5405163277880499E-2</v>
      </c>
    </row>
    <row r="149" spans="1:32" x14ac:dyDescent="0.2">
      <c r="A149" s="1">
        <v>43251</v>
      </c>
      <c r="B149">
        <v>0.113844084607142</v>
      </c>
      <c r="C149">
        <v>-1.7300227315787401E-2</v>
      </c>
      <c r="D149">
        <v>-5.7730222757040102E-2</v>
      </c>
      <c r="E149">
        <v>-5.5494404517410299E-2</v>
      </c>
      <c r="F149">
        <v>0.120741704793146</v>
      </c>
      <c r="G149">
        <v>7.4208027492554507E-2</v>
      </c>
      <c r="H149">
        <v>1.3482924487069701E-2</v>
      </c>
      <c r="I149">
        <v>-4.2418179146917603E-2</v>
      </c>
      <c r="J149">
        <v>0.142583143010238</v>
      </c>
      <c r="K149">
        <v>6.4833499171062098E-2</v>
      </c>
      <c r="L149">
        <v>2.1106044532946599E-3</v>
      </c>
      <c r="M149">
        <v>-3.9640539449536098E-2</v>
      </c>
      <c r="N149">
        <v>8.6232580203758805E-2</v>
      </c>
      <c r="O149">
        <v>1.9805350861413499E-2</v>
      </c>
      <c r="P149">
        <v>-2.6009440676676501E-2</v>
      </c>
      <c r="Q149">
        <v>-2.4074653119199398E-2</v>
      </c>
      <c r="R149">
        <v>-2.73</v>
      </c>
      <c r="S149">
        <v>1.23</v>
      </c>
      <c r="T149">
        <v>-4.9800000000000004</v>
      </c>
      <c r="U149">
        <v>0.14000000000000001</v>
      </c>
      <c r="V149">
        <v>0.85524999999999995</v>
      </c>
      <c r="W149">
        <v>3.3035390747674802E-2</v>
      </c>
      <c r="X149">
        <v>-2.7300000000000001E-2</v>
      </c>
      <c r="Y149">
        <v>1.23E-2</v>
      </c>
      <c r="Z149">
        <v>-4.9799999999999997E-2</v>
      </c>
      <c r="AA149">
        <v>1.4E-3</v>
      </c>
      <c r="AB149">
        <v>3.4481640294721699E-2</v>
      </c>
      <c r="AC149">
        <v>6.2797741273101799E-3</v>
      </c>
      <c r="AD149">
        <v>-2.82018661674115E-2</v>
      </c>
      <c r="AE149">
        <v>1.2706335306196401E-2</v>
      </c>
      <c r="AF149">
        <v>-5.1445162459234202E-2</v>
      </c>
    </row>
    <row r="150" spans="1:32" x14ac:dyDescent="0.2">
      <c r="A150" s="1">
        <v>43281</v>
      </c>
      <c r="B150">
        <v>4.7253977784439599E-2</v>
      </c>
      <c r="C150">
        <v>-5.6460476108372596E-3</v>
      </c>
      <c r="D150">
        <v>-5.2209742576109899E-2</v>
      </c>
      <c r="E150">
        <v>-5.0252291604934302E-2</v>
      </c>
      <c r="F150">
        <v>5.1377036206850198E-2</v>
      </c>
      <c r="G150">
        <v>5.0426811930985603E-2</v>
      </c>
      <c r="H150">
        <v>9.9244227729529009E-4</v>
      </c>
      <c r="I150">
        <v>-3.3472224680470598E-2</v>
      </c>
      <c r="J150">
        <v>6.3243287754787103E-2</v>
      </c>
      <c r="K150">
        <v>5.1800852496456301E-2</v>
      </c>
      <c r="L150">
        <v>-3.0596296709133001E-3</v>
      </c>
      <c r="M150">
        <v>-5.2565162885135498E-2</v>
      </c>
      <c r="N150">
        <v>2.52227752282125E-2</v>
      </c>
      <c r="O150">
        <v>1.7252501112550701E-2</v>
      </c>
      <c r="P150">
        <v>-3.6763546528994002E-2</v>
      </c>
      <c r="Q150">
        <v>-3.9069202386460701E-2</v>
      </c>
      <c r="R150">
        <v>-0.92</v>
      </c>
      <c r="S150">
        <v>-0.84</v>
      </c>
      <c r="T150">
        <v>-1.56</v>
      </c>
      <c r="U150">
        <v>0.14000000000000001</v>
      </c>
      <c r="V150">
        <v>0.85580000000000001</v>
      </c>
      <c r="W150">
        <v>6.4308681672020597E-4</v>
      </c>
      <c r="X150">
        <v>-9.1999999999999998E-3</v>
      </c>
      <c r="Y150">
        <v>-8.3999999999999995E-3</v>
      </c>
      <c r="Z150">
        <v>-1.5599999999999999E-2</v>
      </c>
      <c r="AA150">
        <v>1.4E-3</v>
      </c>
      <c r="AB150">
        <v>2.04398713826359E-3</v>
      </c>
      <c r="AC150">
        <v>-7.1619292604501198E-3</v>
      </c>
      <c r="AD150">
        <v>-9.2059163987137094E-3</v>
      </c>
      <c r="AE150">
        <v>-8.4054019292604497E-3</v>
      </c>
      <c r="AF150">
        <v>-1.56100321543408E-2</v>
      </c>
    </row>
    <row r="151" spans="1:32" x14ac:dyDescent="0.2">
      <c r="A151" s="1">
        <v>43312</v>
      </c>
      <c r="B151">
        <v>7.2801596205382003E-3</v>
      </c>
      <c r="C151">
        <v>-1.35800961788234E-2</v>
      </c>
      <c r="D151">
        <v>-0.102417396373309</v>
      </c>
      <c r="E151">
        <v>-5.8957235686045301E-2</v>
      </c>
      <c r="F151">
        <v>-5.0100308389971699E-3</v>
      </c>
      <c r="G151">
        <v>7.8085827828059604E-3</v>
      </c>
      <c r="H151">
        <v>-1.90260557697534E-2</v>
      </c>
      <c r="I151">
        <v>-1.01065552217729E-2</v>
      </c>
      <c r="J151">
        <v>-1.61826193914696E-3</v>
      </c>
      <c r="K151">
        <v>2.16059884951146E-3</v>
      </c>
      <c r="L151">
        <v>-8.0673225347648505E-3</v>
      </c>
      <c r="M151">
        <v>-4.8320866836116597E-2</v>
      </c>
      <c r="N151">
        <v>-4.5391888131087804E-3</v>
      </c>
      <c r="O151">
        <v>7.9063522736723194E-3</v>
      </c>
      <c r="P151">
        <v>-6.1043941618176598E-2</v>
      </c>
      <c r="Q151">
        <v>-5.0068933663498197E-2</v>
      </c>
      <c r="R151">
        <v>2.69</v>
      </c>
      <c r="S151">
        <v>-1.91</v>
      </c>
      <c r="T151">
        <v>0.4</v>
      </c>
      <c r="U151">
        <v>0.16</v>
      </c>
      <c r="V151">
        <v>0.85535000000000005</v>
      </c>
      <c r="W151">
        <v>-5.2582379060517304E-4</v>
      </c>
      <c r="X151">
        <v>2.69E-2</v>
      </c>
      <c r="Y151">
        <v>-1.9099999999999999E-2</v>
      </c>
      <c r="Z151">
        <v>4.0000000000000001E-3</v>
      </c>
      <c r="AA151">
        <v>1.6000000000000001E-3</v>
      </c>
      <c r="AB151">
        <v>1.0733348913298799E-3</v>
      </c>
      <c r="AC151">
        <v>2.79591902313625E-2</v>
      </c>
      <c r="AD151">
        <v>2.6885855340032599E-2</v>
      </c>
      <c r="AE151">
        <v>-1.9089956765599402E-2</v>
      </c>
      <c r="AF151">
        <v>3.9978967048375797E-3</v>
      </c>
    </row>
    <row r="152" spans="1:32" x14ac:dyDescent="0.2">
      <c r="A152" s="1">
        <v>43343</v>
      </c>
      <c r="B152">
        <v>-1.1559145555040401E-2</v>
      </c>
      <c r="C152">
        <v>3.9644345961690501E-3</v>
      </c>
      <c r="D152">
        <v>-0.103636899865663</v>
      </c>
      <c r="E152">
        <v>-6.1115778090512302E-2</v>
      </c>
      <c r="F152">
        <v>5.37478943271711E-3</v>
      </c>
      <c r="G152">
        <v>1.3937877773855E-4</v>
      </c>
      <c r="H152">
        <v>-3.9043071213375198E-2</v>
      </c>
      <c r="I152">
        <v>-5.2124595778320001E-3</v>
      </c>
      <c r="J152">
        <v>6.4840839561586001E-3</v>
      </c>
      <c r="K152">
        <v>-1.8449160908630201E-2</v>
      </c>
      <c r="L152">
        <v>-1.8402320285970102E-2</v>
      </c>
      <c r="M152">
        <v>-4.9328026987666702E-2</v>
      </c>
      <c r="N152">
        <v>2.49554224191059E-3</v>
      </c>
      <c r="O152">
        <v>1.6891038677037999E-2</v>
      </c>
      <c r="P152">
        <v>-6.2006335801501798E-2</v>
      </c>
      <c r="Q152">
        <v>-6.6252556653506503E-2</v>
      </c>
      <c r="R152">
        <v>-2.65</v>
      </c>
      <c r="S152">
        <v>0.88</v>
      </c>
      <c r="T152">
        <v>-2.65</v>
      </c>
      <c r="U152">
        <v>0.16</v>
      </c>
      <c r="V152">
        <v>0.86185</v>
      </c>
      <c r="W152">
        <v>7.5992283860406599E-3</v>
      </c>
      <c r="X152">
        <v>-2.6499999999999999E-2</v>
      </c>
      <c r="Y152">
        <v>8.8000000000000005E-3</v>
      </c>
      <c r="Z152">
        <v>-2.6499999999999999E-2</v>
      </c>
      <c r="AA152">
        <v>1.6000000000000001E-3</v>
      </c>
      <c r="AB152">
        <v>9.2113871514583091E-3</v>
      </c>
      <c r="AC152">
        <v>-1.7489992400771599E-2</v>
      </c>
      <c r="AD152">
        <v>-2.6701379552229999E-2</v>
      </c>
      <c r="AE152">
        <v>8.8668732097971596E-3</v>
      </c>
      <c r="AF152">
        <v>-2.6701379552230099E-2</v>
      </c>
    </row>
    <row r="153" spans="1:32" x14ac:dyDescent="0.2">
      <c r="A153" s="1">
        <v>43373</v>
      </c>
      <c r="B153">
        <v>-2.3782576267940399E-2</v>
      </c>
      <c r="C153">
        <v>-4.7113182356423597E-3</v>
      </c>
      <c r="D153">
        <v>-6.7008464364456205E-2</v>
      </c>
      <c r="E153">
        <v>-4.33205207287976E-2</v>
      </c>
      <c r="F153">
        <v>-5.4487327697620097E-3</v>
      </c>
      <c r="G153">
        <v>-2.6073678926796101E-2</v>
      </c>
      <c r="H153">
        <v>-3.5082351112025699E-2</v>
      </c>
      <c r="I153">
        <v>-1.3782296969066601E-2</v>
      </c>
      <c r="J153">
        <v>-1.6890521762413999E-2</v>
      </c>
      <c r="K153">
        <v>-5.0066437227266197E-2</v>
      </c>
      <c r="L153">
        <v>-3.3074264027454101E-2</v>
      </c>
      <c r="M153">
        <v>-5.6044023483217902E-2</v>
      </c>
      <c r="N153">
        <v>-1.9246014557842601E-2</v>
      </c>
      <c r="O153">
        <v>-2.6328657993326499E-2</v>
      </c>
      <c r="P153">
        <v>-6.0682815313717602E-2</v>
      </c>
      <c r="Q153">
        <v>-6.6337310795204302E-2</v>
      </c>
      <c r="R153">
        <v>0.12</v>
      </c>
      <c r="S153">
        <v>-1.46</v>
      </c>
      <c r="T153">
        <v>2.34</v>
      </c>
      <c r="U153">
        <v>0.15</v>
      </c>
      <c r="V153">
        <v>0.86140000000000005</v>
      </c>
      <c r="W153">
        <v>-5.2213262168587804E-4</v>
      </c>
      <c r="X153">
        <v>1.1999999999999999E-3</v>
      </c>
      <c r="Y153">
        <v>-1.46E-2</v>
      </c>
      <c r="Z153">
        <v>2.3400000000000001E-2</v>
      </c>
      <c r="AA153">
        <v>1.5E-3</v>
      </c>
      <c r="AB153">
        <v>9.770841793816929E-4</v>
      </c>
      <c r="AC153">
        <v>2.1764576202356598E-3</v>
      </c>
      <c r="AD153">
        <v>1.19937344085397E-3</v>
      </c>
      <c r="AE153">
        <v>-1.4592376863723401E-2</v>
      </c>
      <c r="AF153">
        <v>2.3387782096652501E-2</v>
      </c>
    </row>
    <row r="154" spans="1:32" x14ac:dyDescent="0.2">
      <c r="A154" s="1">
        <v>43404</v>
      </c>
      <c r="B154">
        <v>-1.00699051333164E-2</v>
      </c>
      <c r="C154">
        <v>-1.5041580825627E-2</v>
      </c>
      <c r="D154">
        <v>-3.4031864135210602E-2</v>
      </c>
      <c r="E154">
        <v>-5.25585519861832E-2</v>
      </c>
      <c r="F154">
        <v>-3.59908818714091E-2</v>
      </c>
      <c r="G154">
        <v>-6.1408478907137402E-2</v>
      </c>
      <c r="H154">
        <v>-6.9563783526375295E-2</v>
      </c>
      <c r="I154">
        <v>-5.4233970108606498E-2</v>
      </c>
      <c r="J154">
        <v>-2.82359995238123E-2</v>
      </c>
      <c r="K154">
        <v>-6.95319871512598E-2</v>
      </c>
      <c r="L154">
        <v>-7.4014313836084505E-2</v>
      </c>
      <c r="M154">
        <v>-6.2526750571989601E-2</v>
      </c>
      <c r="N154">
        <v>-4.9868354504203502E-2</v>
      </c>
      <c r="O154">
        <v>-4.9444110696075197E-2</v>
      </c>
      <c r="P154">
        <v>-5.8608713376541499E-2</v>
      </c>
      <c r="Q154">
        <v>-8.1550850346276502E-2</v>
      </c>
      <c r="R154">
        <v>-8.5399999999999991</v>
      </c>
      <c r="S154">
        <v>-1.7</v>
      </c>
      <c r="T154">
        <v>1.47</v>
      </c>
      <c r="U154">
        <v>0.19</v>
      </c>
      <c r="V154">
        <v>0.88405</v>
      </c>
      <c r="W154">
        <v>2.6294404457859199E-2</v>
      </c>
      <c r="X154">
        <v>-8.5400000000000004E-2</v>
      </c>
      <c r="Y154">
        <v>-1.7000000000000001E-2</v>
      </c>
      <c r="Z154">
        <v>1.47E-2</v>
      </c>
      <c r="AA154">
        <v>1.9E-3</v>
      </c>
      <c r="AB154">
        <v>2.8244363826329201E-2</v>
      </c>
      <c r="AC154">
        <v>-5.9401178314372E-2</v>
      </c>
      <c r="AD154">
        <v>-8.7645542140701194E-2</v>
      </c>
      <c r="AE154">
        <v>-1.74470048757836E-2</v>
      </c>
      <c r="AF154">
        <v>1.5086527745530501E-2</v>
      </c>
    </row>
    <row r="155" spans="1:32" x14ac:dyDescent="0.2">
      <c r="A155" s="1">
        <v>43434</v>
      </c>
      <c r="B155">
        <v>-4.0121598112513599E-3</v>
      </c>
      <c r="C155">
        <v>-3.7785262361729501E-2</v>
      </c>
      <c r="D155">
        <v>2.98505974765582E-3</v>
      </c>
      <c r="E155">
        <v>-5.5147587637909702E-2</v>
      </c>
      <c r="F155">
        <v>-4.9079776286364098E-2</v>
      </c>
      <c r="G155">
        <v>-6.7939493980781696E-2</v>
      </c>
      <c r="H155">
        <v>-5.7672912495615E-2</v>
      </c>
      <c r="I155">
        <v>-6.8888135064236605E-2</v>
      </c>
      <c r="J155">
        <v>-7.40181072682322E-2</v>
      </c>
      <c r="K155">
        <v>-0.111384933147938</v>
      </c>
      <c r="L155">
        <v>-9.8493929876425093E-2</v>
      </c>
      <c r="M155">
        <v>-8.2429848385889098E-2</v>
      </c>
      <c r="N155">
        <v>-0.109290254616842</v>
      </c>
      <c r="O155">
        <v>-0.10610933713131999</v>
      </c>
      <c r="P155">
        <v>-7.4154147014584795E-2</v>
      </c>
      <c r="Q155">
        <v>-0.104570537358483</v>
      </c>
      <c r="R155">
        <v>-1.31</v>
      </c>
      <c r="S155">
        <v>-1.18</v>
      </c>
      <c r="T155">
        <v>-0.56999999999999995</v>
      </c>
      <c r="U155">
        <v>0.18</v>
      </c>
      <c r="V155">
        <v>0.88365000000000005</v>
      </c>
      <c r="W155">
        <v>-4.5246309597868399E-4</v>
      </c>
      <c r="X155">
        <v>-1.3100000000000001E-2</v>
      </c>
      <c r="Y155">
        <v>-1.18E-2</v>
      </c>
      <c r="Z155">
        <v>-5.7000000000000002E-3</v>
      </c>
      <c r="AA155">
        <v>1.8E-3</v>
      </c>
      <c r="AB155">
        <v>1.3467224704486499E-3</v>
      </c>
      <c r="AC155">
        <v>-1.1747350262994101E-2</v>
      </c>
      <c r="AD155">
        <v>-1.30940727334428E-2</v>
      </c>
      <c r="AE155">
        <v>-1.1794660935467501E-2</v>
      </c>
      <c r="AF155">
        <v>-5.6974209603529204E-3</v>
      </c>
    </row>
    <row r="156" spans="1:32" x14ac:dyDescent="0.2">
      <c r="A156" s="1">
        <v>43465</v>
      </c>
      <c r="B156">
        <v>-1.7109415273878902E-2</v>
      </c>
      <c r="C156">
        <v>-2.2208751726070002E-2</v>
      </c>
      <c r="D156">
        <v>1.9344033744059502E-2</v>
      </c>
      <c r="E156">
        <v>-3.9089157528988998E-2</v>
      </c>
      <c r="F156">
        <v>-4.6980142440404098E-2</v>
      </c>
      <c r="G156">
        <v>-3.0457255631121699E-2</v>
      </c>
      <c r="H156">
        <v>-3.7094464085838601E-2</v>
      </c>
      <c r="I156">
        <v>-6.0439015638900501E-2</v>
      </c>
      <c r="J156">
        <v>-5.90509211999918E-2</v>
      </c>
      <c r="K156">
        <v>-8.4962924884636803E-2</v>
      </c>
      <c r="L156">
        <v>-9.9565356508335506E-2</v>
      </c>
      <c r="M156">
        <v>-8.9846414109057901E-2</v>
      </c>
      <c r="N156">
        <v>-8.2835055011435996E-2</v>
      </c>
      <c r="O156">
        <v>-8.0250526245168E-2</v>
      </c>
      <c r="P156">
        <v>-8.3161674462248203E-2</v>
      </c>
      <c r="Q156">
        <v>-9.21163388676247E-2</v>
      </c>
      <c r="R156">
        <v>-4.59</v>
      </c>
      <c r="S156">
        <v>-0.68</v>
      </c>
      <c r="T156">
        <v>0.95</v>
      </c>
      <c r="U156">
        <v>0.19</v>
      </c>
      <c r="V156">
        <v>0.87180000000000002</v>
      </c>
      <c r="W156">
        <v>-1.34102868782889E-2</v>
      </c>
      <c r="X156">
        <v>-4.5900000000000003E-2</v>
      </c>
      <c r="Y156">
        <v>-6.7999999999999996E-3</v>
      </c>
      <c r="Z156">
        <v>9.4999999999999998E-3</v>
      </c>
      <c r="AA156">
        <v>1.9E-3</v>
      </c>
      <c r="AB156">
        <v>-1.15357664233576E-2</v>
      </c>
      <c r="AC156">
        <v>-5.6820234255644302E-2</v>
      </c>
      <c r="AD156">
        <v>-4.52844678322867E-2</v>
      </c>
      <c r="AE156">
        <v>-6.7088100492276401E-3</v>
      </c>
      <c r="AF156">
        <v>9.3726022746562603E-3</v>
      </c>
    </row>
    <row r="157" spans="1:32" x14ac:dyDescent="0.2">
      <c r="A157" s="1">
        <v>43496</v>
      </c>
      <c r="B157">
        <v>-5.6586468813139001E-2</v>
      </c>
      <c r="C157">
        <v>7.3919954079746802E-3</v>
      </c>
      <c r="D157">
        <v>2.4464491295237201E-2</v>
      </c>
      <c r="E157">
        <v>-2.8861087033229701E-2</v>
      </c>
      <c r="F157">
        <v>-4.2347689032570301E-2</v>
      </c>
      <c r="G157">
        <v>-4.8731508928751303E-3</v>
      </c>
      <c r="H157">
        <v>-2.16734225583286E-2</v>
      </c>
      <c r="I157">
        <v>-5.1021058600223997E-2</v>
      </c>
      <c r="J157">
        <v>-5.7280783307562297E-2</v>
      </c>
      <c r="K157">
        <v>-5.9495934929237798E-2</v>
      </c>
      <c r="L157">
        <v>-9.0529272037128405E-2</v>
      </c>
      <c r="M157">
        <v>-0.11241556127194401</v>
      </c>
      <c r="N157">
        <v>-6.4412166654027006E-2</v>
      </c>
      <c r="O157">
        <v>-6.0218927787793898E-2</v>
      </c>
      <c r="P157">
        <v>-8.3879189131508894E-2</v>
      </c>
      <c r="Q157">
        <v>-8.4165525681085401E-2</v>
      </c>
      <c r="R157">
        <v>6.19</v>
      </c>
      <c r="S157">
        <v>0.59</v>
      </c>
      <c r="T157">
        <v>-0.95</v>
      </c>
      <c r="U157">
        <v>0.21</v>
      </c>
      <c r="V157">
        <v>0.87360000000000004</v>
      </c>
      <c r="W157">
        <v>2.0646937370956101E-3</v>
      </c>
      <c r="X157">
        <v>6.1899999999999997E-2</v>
      </c>
      <c r="Y157">
        <v>5.8999999999999999E-3</v>
      </c>
      <c r="Z157">
        <v>-9.4999999999999998E-3</v>
      </c>
      <c r="AA157">
        <v>2.0999999999999999E-3</v>
      </c>
      <c r="AB157">
        <v>4.1690295939436099E-3</v>
      </c>
      <c r="AC157">
        <v>6.6196834136269797E-2</v>
      </c>
      <c r="AD157">
        <v>6.20278045423261E-2</v>
      </c>
      <c r="AE157">
        <v>5.9121816930488603E-3</v>
      </c>
      <c r="AF157">
        <v>-9.51961459050241E-3</v>
      </c>
    </row>
    <row r="158" spans="1:32" x14ac:dyDescent="0.2">
      <c r="A158" s="1">
        <v>43524</v>
      </c>
      <c r="B158">
        <v>-6.2465188492945301E-3</v>
      </c>
      <c r="C158">
        <v>5.2602064639624198E-2</v>
      </c>
      <c r="D158">
        <v>6.2504646111480294E-2</v>
      </c>
      <c r="E158">
        <v>2.35504305773107E-2</v>
      </c>
      <c r="F158">
        <v>-3.07940954961608E-2</v>
      </c>
      <c r="G158">
        <v>3.6217588977299098E-2</v>
      </c>
      <c r="H158">
        <v>1.8675183628970301E-2</v>
      </c>
      <c r="I158">
        <v>-2.57732202681537E-2</v>
      </c>
      <c r="J158">
        <v>-1.5791337682085699E-2</v>
      </c>
      <c r="K158">
        <v>-1.9536063220909901E-2</v>
      </c>
      <c r="L158">
        <v>-7.1212708282318501E-2</v>
      </c>
      <c r="M158">
        <v>-0.105334106901895</v>
      </c>
      <c r="N158">
        <v>-3.13580241446383E-2</v>
      </c>
      <c r="O158">
        <v>-4.1816499381002903E-2</v>
      </c>
      <c r="P158">
        <v>-8.40879679084236E-2</v>
      </c>
      <c r="Q158">
        <v>-7.3695774223690405E-2</v>
      </c>
      <c r="R158">
        <v>2.93</v>
      </c>
      <c r="S158">
        <v>-1.47</v>
      </c>
      <c r="T158">
        <v>-1.23</v>
      </c>
      <c r="U158">
        <v>0.18</v>
      </c>
      <c r="V158">
        <v>0.87944999999999995</v>
      </c>
      <c r="W158">
        <v>6.6964285714283802E-3</v>
      </c>
      <c r="X158">
        <v>2.93E-2</v>
      </c>
      <c r="Y158">
        <v>-1.47E-2</v>
      </c>
      <c r="Z158">
        <v>-1.23E-2</v>
      </c>
      <c r="AA158">
        <v>1.8E-3</v>
      </c>
      <c r="AB158">
        <v>8.5084821428569306E-3</v>
      </c>
      <c r="AC158">
        <v>3.8004687500000002E-2</v>
      </c>
      <c r="AD158">
        <v>2.9496205357143E-2</v>
      </c>
      <c r="AE158">
        <v>-1.4798437500000001E-2</v>
      </c>
      <c r="AF158">
        <v>-1.23823660714286E-2</v>
      </c>
    </row>
    <row r="159" spans="1:32" x14ac:dyDescent="0.2">
      <c r="A159" s="1">
        <v>43555</v>
      </c>
      <c r="B159">
        <v>3.5152299167933602E-2</v>
      </c>
      <c r="C159">
        <v>4.3803075724705598E-2</v>
      </c>
      <c r="D159">
        <v>8.2906980732512403E-2</v>
      </c>
      <c r="E159">
        <v>4.3003801722425503E-2</v>
      </c>
      <c r="F159">
        <v>2.9298490121429599E-2</v>
      </c>
      <c r="G159">
        <v>7.3752905655507503E-2</v>
      </c>
      <c r="H159">
        <v>5.1035188461759397E-2</v>
      </c>
      <c r="I159">
        <v>-8.9705116283528893E-3</v>
      </c>
      <c r="J159">
        <v>5.4658711959386402E-2</v>
      </c>
      <c r="K159">
        <v>3.24473975122367E-2</v>
      </c>
      <c r="L159">
        <v>-3.1194223883827001E-2</v>
      </c>
      <c r="M159">
        <v>-8.79495206565164E-2</v>
      </c>
      <c r="N159">
        <v>2.0941724632889399E-2</v>
      </c>
      <c r="O159">
        <v>-7.6089241119409101E-3</v>
      </c>
      <c r="P159">
        <v>-6.5079376222697105E-2</v>
      </c>
      <c r="Q159">
        <v>-8.0720889137345E-2</v>
      </c>
      <c r="R159">
        <v>0.57999999999999996</v>
      </c>
      <c r="S159">
        <v>-1.76</v>
      </c>
      <c r="T159">
        <v>-2.33</v>
      </c>
      <c r="U159">
        <v>0.19</v>
      </c>
      <c r="V159">
        <v>0.89139999999999997</v>
      </c>
      <c r="W159">
        <v>1.3588037978282E-2</v>
      </c>
      <c r="X159">
        <v>5.7999999999999996E-3</v>
      </c>
      <c r="Y159">
        <v>-1.7600000000000001E-2</v>
      </c>
      <c r="Z159">
        <v>-2.3300000000000001E-2</v>
      </c>
      <c r="AA159">
        <v>1.9E-3</v>
      </c>
      <c r="AB159">
        <v>1.55138552504408E-2</v>
      </c>
      <c r="AC159">
        <v>2.1392665870714901E-2</v>
      </c>
      <c r="AD159">
        <v>5.8788106202740699E-3</v>
      </c>
      <c r="AE159">
        <v>-1.78391494684178E-2</v>
      </c>
      <c r="AF159">
        <v>-2.3616601284894002E-2</v>
      </c>
    </row>
    <row r="160" spans="1:32" x14ac:dyDescent="0.2">
      <c r="A160" s="1">
        <v>43585</v>
      </c>
      <c r="B160">
        <v>6.6431672238178793E-2</v>
      </c>
      <c r="C160">
        <v>4.30470430860279E-2</v>
      </c>
      <c r="D160">
        <v>0.110756748664617</v>
      </c>
      <c r="E160">
        <v>4.4940974206664402E-2</v>
      </c>
      <c r="F160">
        <v>8.7702352414610399E-2</v>
      </c>
      <c r="G160">
        <v>0.120115668975882</v>
      </c>
      <c r="H160">
        <v>6.9498276949775895E-2</v>
      </c>
      <c r="I160">
        <v>5.8554088034097999E-3</v>
      </c>
      <c r="J160">
        <v>0.115541474837613</v>
      </c>
      <c r="K160">
        <v>7.3028980046977998E-2</v>
      </c>
      <c r="L160">
        <v>-2.74902662795346E-4</v>
      </c>
      <c r="M160">
        <v>-6.1660413907855698E-2</v>
      </c>
      <c r="N160">
        <v>4.9179652307925599E-2</v>
      </c>
      <c r="O160">
        <v>6.3881251070334903E-3</v>
      </c>
      <c r="P160">
        <v>-4.76785656928604E-2</v>
      </c>
      <c r="Q160">
        <v>-7.8970785425658704E-2</v>
      </c>
      <c r="R160">
        <v>3.7</v>
      </c>
      <c r="S160">
        <v>0.1</v>
      </c>
      <c r="T160">
        <v>-1.04</v>
      </c>
      <c r="U160">
        <v>0.21</v>
      </c>
      <c r="V160">
        <v>0.89165000000000005</v>
      </c>
      <c r="W160">
        <v>2.80457706977932E-4</v>
      </c>
      <c r="X160">
        <v>3.6999999999999998E-2</v>
      </c>
      <c r="Y160">
        <v>1E-3</v>
      </c>
      <c r="Z160">
        <v>-1.04E-2</v>
      </c>
      <c r="AA160">
        <v>2.0999999999999999E-3</v>
      </c>
      <c r="AB160">
        <v>2.3810466681626302E-3</v>
      </c>
      <c r="AC160">
        <v>3.9391423603320597E-2</v>
      </c>
      <c r="AD160">
        <v>3.7010376935157997E-2</v>
      </c>
      <c r="AE160">
        <v>1.00028045770698E-3</v>
      </c>
      <c r="AF160">
        <v>-1.04029167601526E-2</v>
      </c>
    </row>
    <row r="161" spans="1:32" x14ac:dyDescent="0.2">
      <c r="A161" s="1">
        <v>43616</v>
      </c>
      <c r="B161">
        <v>3.8886020178440603E-2</v>
      </c>
      <c r="C161">
        <v>6.76247792469893E-2</v>
      </c>
      <c r="D161">
        <v>0.117822104797331</v>
      </c>
      <c r="E161">
        <v>8.3526014821702202E-2</v>
      </c>
      <c r="F161">
        <v>9.2575563933370603E-2</v>
      </c>
      <c r="G161">
        <v>0.13482795738726999</v>
      </c>
      <c r="H161">
        <v>9.7061085362468505E-2</v>
      </c>
      <c r="I161">
        <v>5.5428252698941999E-2</v>
      </c>
      <c r="J161">
        <v>0.151636998780804</v>
      </c>
      <c r="K161">
        <v>0.12891420182798699</v>
      </c>
      <c r="L161">
        <v>4.7386749968406097E-2</v>
      </c>
      <c r="M161">
        <v>-1.8911761823013299E-2</v>
      </c>
      <c r="N161">
        <v>9.4529609754094204E-2</v>
      </c>
      <c r="O161">
        <v>5.67376298664376E-2</v>
      </c>
      <c r="P161">
        <v>-1.72361171056182E-2</v>
      </c>
      <c r="Q161">
        <v>-4.90918850473782E-2</v>
      </c>
      <c r="R161">
        <v>-5.34</v>
      </c>
      <c r="S161">
        <v>1.32</v>
      </c>
      <c r="T161">
        <v>-1.54</v>
      </c>
      <c r="U161">
        <v>0.21</v>
      </c>
      <c r="V161">
        <v>0.89419999999999999</v>
      </c>
      <c r="W161">
        <v>2.8598665395613799E-3</v>
      </c>
      <c r="X161">
        <v>-5.3400000000000003E-2</v>
      </c>
      <c r="Y161">
        <v>1.32E-2</v>
      </c>
      <c r="Z161">
        <v>-1.54E-2</v>
      </c>
      <c r="AA161">
        <v>2.0999999999999999E-3</v>
      </c>
      <c r="AB161">
        <v>4.9658722592944597E-3</v>
      </c>
      <c r="AC161">
        <v>-4.8586844613918198E-2</v>
      </c>
      <c r="AD161">
        <v>-5.35527168732126E-2</v>
      </c>
      <c r="AE161">
        <v>1.32377502383222E-2</v>
      </c>
      <c r="AF161">
        <v>-1.54440419447092E-2</v>
      </c>
    </row>
    <row r="162" spans="1:32" x14ac:dyDescent="0.2">
      <c r="A162" s="1">
        <v>43646</v>
      </c>
      <c r="B162">
        <v>3.6758709375850497E-2</v>
      </c>
      <c r="C162">
        <v>6.9499058666046304E-2</v>
      </c>
      <c r="D162">
        <v>0.112758727594021</v>
      </c>
      <c r="E162">
        <v>0.10850243349055699</v>
      </c>
      <c r="F162">
        <v>3.21939307572644E-2</v>
      </c>
      <c r="G162">
        <v>0.117522321527098</v>
      </c>
      <c r="H162">
        <v>0.107697682637464</v>
      </c>
      <c r="I162">
        <v>8.8171628488145498E-2</v>
      </c>
      <c r="J162">
        <v>0.11025688575449399</v>
      </c>
      <c r="K162">
        <v>0.13417220158193299</v>
      </c>
      <c r="L162">
        <v>6.9167144844432302E-2</v>
      </c>
      <c r="M162">
        <v>7.2834496207689397E-3</v>
      </c>
      <c r="N162">
        <v>6.3879945504884003E-2</v>
      </c>
      <c r="O162">
        <v>6.0642342733802798E-2</v>
      </c>
      <c r="P162">
        <v>1.28208421844837E-2</v>
      </c>
      <c r="Q162">
        <v>-2.06709563468515E-2</v>
      </c>
      <c r="R162">
        <v>5.87</v>
      </c>
      <c r="S162">
        <v>-2.64</v>
      </c>
      <c r="T162">
        <v>-1.32</v>
      </c>
      <c r="U162">
        <v>0.18</v>
      </c>
      <c r="V162">
        <v>0.87955000000000005</v>
      </c>
      <c r="W162">
        <v>-1.6383359427421099E-2</v>
      </c>
      <c r="X162">
        <v>5.8700000000000002E-2</v>
      </c>
      <c r="Y162">
        <v>-2.64E-2</v>
      </c>
      <c r="Z162">
        <v>-1.32E-2</v>
      </c>
      <c r="AA162">
        <v>1.8E-3</v>
      </c>
      <c r="AB162">
        <v>-1.46128494743905E-2</v>
      </c>
      <c r="AC162">
        <v>4.3125447327219998E-2</v>
      </c>
      <c r="AD162">
        <v>5.7738296801610502E-2</v>
      </c>
      <c r="AE162">
        <v>-2.59674793111161E-2</v>
      </c>
      <c r="AF162">
        <v>-1.2983739655558E-2</v>
      </c>
    </row>
    <row r="163" spans="1:32" x14ac:dyDescent="0.2">
      <c r="A163" s="1">
        <v>43677</v>
      </c>
      <c r="B163">
        <v>5.6296139865414797E-2</v>
      </c>
      <c r="C163">
        <v>8.5720086944220397E-2</v>
      </c>
      <c r="D163">
        <v>0.12281332599865501</v>
      </c>
      <c r="E163">
        <v>0.15286531995331001</v>
      </c>
      <c r="F163">
        <v>1.9466133715070499E-2</v>
      </c>
      <c r="G163">
        <v>0.127080467061151</v>
      </c>
      <c r="H163">
        <v>0.15507899622752599</v>
      </c>
      <c r="I163">
        <v>0.119238263908683</v>
      </c>
      <c r="J163">
        <v>9.4663782718796205E-2</v>
      </c>
      <c r="K163">
        <v>0.1467400580198</v>
      </c>
      <c r="L163">
        <v>0.12349115757732999</v>
      </c>
      <c r="M163">
        <v>4.90708020375289E-2</v>
      </c>
      <c r="N163">
        <v>7.6229537597897898E-2</v>
      </c>
      <c r="O163">
        <v>8.0027324211032702E-2</v>
      </c>
      <c r="P163">
        <v>6.2675131327583497E-2</v>
      </c>
      <c r="Q163">
        <v>2.4517561668693899E-2</v>
      </c>
      <c r="R163">
        <v>-2.56</v>
      </c>
      <c r="S163">
        <v>-1.28</v>
      </c>
      <c r="T163">
        <v>0.09</v>
      </c>
      <c r="U163">
        <v>0.19</v>
      </c>
      <c r="V163">
        <v>0.90285000000000004</v>
      </c>
      <c r="W163">
        <v>2.64908191688931E-2</v>
      </c>
      <c r="X163">
        <v>-2.5600000000000001E-2</v>
      </c>
      <c r="Y163">
        <v>-1.2800000000000001E-2</v>
      </c>
      <c r="Z163">
        <v>8.9999999999999998E-4</v>
      </c>
      <c r="AA163">
        <v>1.9E-3</v>
      </c>
      <c r="AB163">
        <v>2.8441151725314001E-2</v>
      </c>
      <c r="AC163">
        <v>2.1629867545902601E-3</v>
      </c>
      <c r="AD163">
        <v>-2.62781649707238E-2</v>
      </c>
      <c r="AE163">
        <v>-1.3139082485361799E-2</v>
      </c>
      <c r="AF163">
        <v>9.2384173725200403E-4</v>
      </c>
    </row>
    <row r="164" spans="1:32" x14ac:dyDescent="0.2">
      <c r="A164" s="1">
        <v>43708</v>
      </c>
      <c r="B164">
        <v>4.1374876593393402E-2</v>
      </c>
      <c r="C164">
        <v>5.0197335051860699E-2</v>
      </c>
      <c r="D164">
        <v>0.108741642714971</v>
      </c>
      <c r="E164">
        <v>0.15420422191312999</v>
      </c>
      <c r="F164">
        <v>1.4320363746848599E-2</v>
      </c>
      <c r="G164">
        <v>0.10018895333450301</v>
      </c>
      <c r="H164">
        <v>0.16783456392728099</v>
      </c>
      <c r="I164">
        <v>0.15447051264553199</v>
      </c>
      <c r="J164">
        <v>3.3288773546759701E-2</v>
      </c>
      <c r="K164">
        <v>0.122486963016434</v>
      </c>
      <c r="L164">
        <v>0.15289952694595499</v>
      </c>
      <c r="M164">
        <v>8.7880573888721197E-2</v>
      </c>
      <c r="N164">
        <v>4.2780082858823398E-2</v>
      </c>
      <c r="O164">
        <v>7.9766300102943694E-2</v>
      </c>
      <c r="P164">
        <v>0.101586598255507</v>
      </c>
      <c r="Q164">
        <v>5.77203497715554E-2</v>
      </c>
      <c r="R164">
        <v>-2.4</v>
      </c>
      <c r="S164">
        <v>-0.59</v>
      </c>
      <c r="T164">
        <v>-1.96</v>
      </c>
      <c r="U164">
        <v>0.16</v>
      </c>
      <c r="V164">
        <v>0.90985000000000005</v>
      </c>
      <c r="W164">
        <v>7.7532258957744302E-3</v>
      </c>
      <c r="X164">
        <v>-2.4E-2</v>
      </c>
      <c r="Y164">
        <v>-5.8999999999999999E-3</v>
      </c>
      <c r="Z164">
        <v>-1.9599999999999999E-2</v>
      </c>
      <c r="AA164">
        <v>1.6000000000000001E-3</v>
      </c>
      <c r="AB164">
        <v>9.3656310572076702E-3</v>
      </c>
      <c r="AC164">
        <v>-1.4820446364290901E-2</v>
      </c>
      <c r="AD164">
        <v>-2.41860774214986E-2</v>
      </c>
      <c r="AE164">
        <v>-5.94574403278507E-3</v>
      </c>
      <c r="AF164">
        <v>-1.97519632275572E-2</v>
      </c>
    </row>
    <row r="165" spans="1:32" x14ac:dyDescent="0.2">
      <c r="A165" s="1">
        <v>43738</v>
      </c>
      <c r="B165">
        <v>-1.04083186631768E-3</v>
      </c>
      <c r="C165">
        <v>3.0470584844039299E-2</v>
      </c>
      <c r="D165">
        <v>8.4893448425198803E-2</v>
      </c>
      <c r="E165">
        <v>0.139662884794516</v>
      </c>
      <c r="F165">
        <v>2.79239482822678E-2</v>
      </c>
      <c r="G165">
        <v>7.3777322881763502E-2</v>
      </c>
      <c r="H165">
        <v>0.17730274745607399</v>
      </c>
      <c r="I165">
        <v>0.19210948036571501</v>
      </c>
      <c r="J165">
        <v>3.5262974112145101E-2</v>
      </c>
      <c r="K165">
        <v>0.114043464098464</v>
      </c>
      <c r="L165">
        <v>0.18928129419927001</v>
      </c>
      <c r="M165">
        <v>0.13549816895667799</v>
      </c>
      <c r="N165">
        <v>1.4903209194154299E-2</v>
      </c>
      <c r="O165">
        <v>6.2985674426496496E-2</v>
      </c>
      <c r="P165">
        <v>0.12152216516043</v>
      </c>
      <c r="Q165">
        <v>8.9615984584863598E-2</v>
      </c>
      <c r="R165">
        <v>2.15</v>
      </c>
      <c r="S165">
        <v>-0.89</v>
      </c>
      <c r="T165">
        <v>3.08</v>
      </c>
      <c r="U165">
        <v>0.18</v>
      </c>
      <c r="V165">
        <v>0.91744999999999999</v>
      </c>
      <c r="W165">
        <v>8.3530252239378804E-3</v>
      </c>
      <c r="X165">
        <v>2.1499999999999998E-2</v>
      </c>
      <c r="Y165">
        <v>-8.8999999999999999E-3</v>
      </c>
      <c r="Z165">
        <v>3.0800000000000001E-2</v>
      </c>
      <c r="AA165">
        <v>1.8E-3</v>
      </c>
      <c r="AB165">
        <v>1.01680606693411E-2</v>
      </c>
      <c r="AC165">
        <v>3.1847650711655601E-2</v>
      </c>
      <c r="AD165">
        <v>2.1679590042314598E-2</v>
      </c>
      <c r="AE165">
        <v>-8.9743419244930501E-3</v>
      </c>
      <c r="AF165">
        <v>3.1057273176897299E-2</v>
      </c>
    </row>
    <row r="166" spans="1:32" x14ac:dyDescent="0.2">
      <c r="A166" s="1">
        <v>43769</v>
      </c>
      <c r="B166">
        <v>-4.73482001324518E-2</v>
      </c>
      <c r="C166">
        <v>3.2655788001145498E-2</v>
      </c>
      <c r="D166">
        <v>8.8126107386643296E-2</v>
      </c>
      <c r="E166">
        <v>0.14096532106736501</v>
      </c>
      <c r="F166">
        <v>1.10953680129574E-2</v>
      </c>
      <c r="G166">
        <v>6.7666208061683594E-2</v>
      </c>
      <c r="H166">
        <v>0.17908396954033501</v>
      </c>
      <c r="I166">
        <v>0.23067060036116899</v>
      </c>
      <c r="J166">
        <v>2.2131726134551898E-2</v>
      </c>
      <c r="K166">
        <v>0.11936598112400899</v>
      </c>
      <c r="L166">
        <v>0.21257382010119</v>
      </c>
      <c r="M166">
        <v>0.18128922579558099</v>
      </c>
      <c r="N166">
        <v>-1.46846566658151E-2</v>
      </c>
      <c r="O166">
        <v>0.110681329140931</v>
      </c>
      <c r="P166">
        <v>0.150844786878576</v>
      </c>
      <c r="Q166">
        <v>0.13659977604049001</v>
      </c>
      <c r="R166">
        <v>3.27</v>
      </c>
      <c r="S166">
        <v>0.93</v>
      </c>
      <c r="T166">
        <v>-0.5</v>
      </c>
      <c r="U166">
        <v>0.15</v>
      </c>
      <c r="V166">
        <v>0.89670000000000005</v>
      </c>
      <c r="W166">
        <v>-2.26170363507547E-2</v>
      </c>
      <c r="X166">
        <v>3.27E-2</v>
      </c>
      <c r="Y166">
        <v>9.2999999999999992E-3</v>
      </c>
      <c r="Z166">
        <v>-5.0000000000000001E-3</v>
      </c>
      <c r="AA166">
        <v>1.5E-3</v>
      </c>
      <c r="AB166">
        <v>-2.1150961905280801E-2</v>
      </c>
      <c r="AC166">
        <v>1.08094610060494E-2</v>
      </c>
      <c r="AD166">
        <v>3.1960422911330201E-2</v>
      </c>
      <c r="AE166">
        <v>9.0896615619379794E-3</v>
      </c>
      <c r="AF166">
        <v>-4.8869148182462303E-3</v>
      </c>
    </row>
    <row r="167" spans="1:32" x14ac:dyDescent="0.2">
      <c r="A167" s="1">
        <v>43799</v>
      </c>
      <c r="B167">
        <v>-6.2337414281662402E-2</v>
      </c>
      <c r="C167">
        <v>2.9756879579950001E-2</v>
      </c>
      <c r="D167">
        <v>6.4429856013430098E-2</v>
      </c>
      <c r="E167">
        <v>0.13781032508433999</v>
      </c>
      <c r="F167">
        <v>-7.0823121294752104E-3</v>
      </c>
      <c r="G167">
        <v>5.2399086013903001E-2</v>
      </c>
      <c r="H167">
        <v>0.15784497064378</v>
      </c>
      <c r="I167">
        <v>0.24219820964439501</v>
      </c>
      <c r="J167">
        <v>3.2532018586509601E-2</v>
      </c>
      <c r="K167">
        <v>0.112807924053904</v>
      </c>
      <c r="L167">
        <v>0.22934217145005101</v>
      </c>
      <c r="M167">
        <v>0.22773687680368801</v>
      </c>
      <c r="N167">
        <v>-7.8729721657939001E-3</v>
      </c>
      <c r="O167">
        <v>0.122356115950208</v>
      </c>
      <c r="P167">
        <v>0.17527848282973299</v>
      </c>
      <c r="Q167">
        <v>0.19598517332953999</v>
      </c>
      <c r="R167">
        <v>1.77</v>
      </c>
      <c r="S167">
        <v>2.0699999999999998</v>
      </c>
      <c r="T167">
        <v>-2.2400000000000002</v>
      </c>
      <c r="U167">
        <v>0.12</v>
      </c>
      <c r="V167">
        <v>0.90769999999999995</v>
      </c>
      <c r="W167">
        <v>1.22672019627521E-2</v>
      </c>
      <c r="X167">
        <v>1.77E-2</v>
      </c>
      <c r="Y167">
        <v>2.07E-2</v>
      </c>
      <c r="Z167">
        <v>-2.24E-2</v>
      </c>
      <c r="AA167">
        <v>1.1999999999999999E-3</v>
      </c>
      <c r="AB167">
        <v>1.3481922605107499E-2</v>
      </c>
      <c r="AC167">
        <v>3.1399052079848201E-2</v>
      </c>
      <c r="AD167">
        <v>1.7917129474740699E-2</v>
      </c>
      <c r="AE167">
        <v>2.0953931080628999E-2</v>
      </c>
      <c r="AF167">
        <v>-2.26747853239656E-2</v>
      </c>
    </row>
    <row r="168" spans="1:32" x14ac:dyDescent="0.2">
      <c r="A168" s="1">
        <v>43830</v>
      </c>
      <c r="B168">
        <v>-3.0649894488543598E-2</v>
      </c>
      <c r="C168">
        <v>2.5315355234305E-2</v>
      </c>
      <c r="D168">
        <v>5.8150507931658497E-2</v>
      </c>
      <c r="E168">
        <v>0.13938711148861199</v>
      </c>
      <c r="F168">
        <v>-1.12049631831115E-2</v>
      </c>
      <c r="G168">
        <v>6.4751620557838493E-2</v>
      </c>
      <c r="H168">
        <v>0.13930189782132399</v>
      </c>
      <c r="I168">
        <v>0.2328044056471</v>
      </c>
      <c r="J168">
        <v>2.54892944700339E-2</v>
      </c>
      <c r="K168">
        <v>0.13065534490144101</v>
      </c>
      <c r="L168">
        <v>0.230664379786297</v>
      </c>
      <c r="M168">
        <v>0.253761259397004</v>
      </c>
      <c r="N168">
        <v>4.1106129805797698E-2</v>
      </c>
      <c r="O168">
        <v>0.15757541281467599</v>
      </c>
      <c r="P168">
        <v>0.196183426268244</v>
      </c>
      <c r="Q168">
        <v>0.224835945273684</v>
      </c>
      <c r="R168">
        <v>4.07</v>
      </c>
      <c r="S168">
        <v>2.79</v>
      </c>
      <c r="T168">
        <v>0.41</v>
      </c>
      <c r="U168">
        <v>0.14000000000000001</v>
      </c>
      <c r="V168">
        <v>0.89190000000000003</v>
      </c>
      <c r="W168">
        <v>-1.7406632147185099E-2</v>
      </c>
      <c r="X168">
        <v>4.07E-2</v>
      </c>
      <c r="Y168">
        <v>2.7900000000000001E-2</v>
      </c>
      <c r="Z168">
        <v>4.1000000000000003E-3</v>
      </c>
      <c r="AA168">
        <v>1.4E-3</v>
      </c>
      <c r="AB168">
        <v>-1.6031001432191001E-2</v>
      </c>
      <c r="AC168">
        <v>2.3960548639418499E-2</v>
      </c>
      <c r="AD168">
        <v>3.9991550071609601E-2</v>
      </c>
      <c r="AE168">
        <v>2.7414354963093499E-2</v>
      </c>
      <c r="AF168">
        <v>4.0286328081965399E-3</v>
      </c>
    </row>
    <row r="169" spans="1:32" x14ac:dyDescent="0.2">
      <c r="A169" s="1">
        <v>43861</v>
      </c>
      <c r="B169">
        <v>-1.3751025218039E-2</v>
      </c>
      <c r="C169">
        <v>7.2909000032814796E-3</v>
      </c>
      <c r="D169">
        <v>5.8597301854383901E-2</v>
      </c>
      <c r="E169">
        <v>0.14983283434988001</v>
      </c>
      <c r="F169">
        <v>2.5426540802533499E-2</v>
      </c>
      <c r="G169">
        <v>8.5801304289384706E-2</v>
      </c>
      <c r="H169">
        <v>0.153097691480237</v>
      </c>
      <c r="I169">
        <v>0.26026905888085999</v>
      </c>
      <c r="J169">
        <v>5.6831654259613403E-2</v>
      </c>
      <c r="K169">
        <v>0.15132375701454101</v>
      </c>
      <c r="L169">
        <v>0.239989632454496</v>
      </c>
      <c r="M169">
        <v>0.28068055053024199</v>
      </c>
      <c r="N169">
        <v>7.9407861238146596E-2</v>
      </c>
      <c r="O169">
        <v>0.17587896502573599</v>
      </c>
      <c r="P169">
        <v>0.22178023870706201</v>
      </c>
      <c r="Q169">
        <v>0.25591069151475698</v>
      </c>
      <c r="R169">
        <v>-2.5499999999999998</v>
      </c>
      <c r="S169">
        <v>0.36</v>
      </c>
      <c r="T169">
        <v>-2.88</v>
      </c>
      <c r="U169">
        <v>0.13</v>
      </c>
      <c r="V169">
        <v>0.90139999999999998</v>
      </c>
      <c r="W169">
        <v>1.06514183204394E-2</v>
      </c>
      <c r="X169">
        <v>-2.5499999999999998E-2</v>
      </c>
      <c r="Y169">
        <v>3.5999999999999999E-3</v>
      </c>
      <c r="Z169">
        <v>-2.8799999999999999E-2</v>
      </c>
      <c r="AA169">
        <v>1.2999999999999999E-3</v>
      </c>
      <c r="AB169">
        <v>1.1965265164256099E-2</v>
      </c>
      <c r="AC169">
        <v>-1.38063460029152E-2</v>
      </c>
      <c r="AD169">
        <v>-2.5771611167171301E-2</v>
      </c>
      <c r="AE169">
        <v>3.63834510595358E-3</v>
      </c>
      <c r="AF169">
        <v>-2.9106760847628699E-2</v>
      </c>
    </row>
    <row r="170" spans="1:32" x14ac:dyDescent="0.2">
      <c r="A170" s="1">
        <v>43890</v>
      </c>
      <c r="B170">
        <v>4.6713852746641998E-2</v>
      </c>
      <c r="C170">
        <v>4.2519060659292701E-2</v>
      </c>
      <c r="D170">
        <v>7.9406669677608899E-2</v>
      </c>
      <c r="E170">
        <v>0.150953679249375</v>
      </c>
      <c r="F170">
        <v>9.5602214868028099E-2</v>
      </c>
      <c r="G170">
        <v>0.12810843809480699</v>
      </c>
      <c r="H170">
        <v>0.17354398240638799</v>
      </c>
      <c r="I170">
        <v>0.271954701968534</v>
      </c>
      <c r="J170">
        <v>8.3930469357771598E-2</v>
      </c>
      <c r="K170">
        <v>0.17020163815571501</v>
      </c>
      <c r="L170">
        <v>0.23372025062570001</v>
      </c>
      <c r="M170">
        <v>0.27786117199180699</v>
      </c>
      <c r="N170">
        <v>0.13842265768727</v>
      </c>
      <c r="O170">
        <v>0.213419714199762</v>
      </c>
      <c r="P170">
        <v>0.24547861248959399</v>
      </c>
      <c r="Q170">
        <v>0.27616129666299899</v>
      </c>
      <c r="R170">
        <v>-8.98</v>
      </c>
      <c r="S170">
        <v>0.28000000000000003</v>
      </c>
      <c r="T170">
        <v>-0.74</v>
      </c>
      <c r="U170">
        <v>0.12</v>
      </c>
      <c r="V170">
        <v>0.90690000000000004</v>
      </c>
      <c r="W170">
        <v>6.1016197026848599E-3</v>
      </c>
      <c r="X170">
        <v>-8.9800000000000005E-2</v>
      </c>
      <c r="Y170">
        <v>2.8E-3</v>
      </c>
      <c r="Z170">
        <v>-7.4000000000000003E-3</v>
      </c>
      <c r="AA170">
        <v>1.1999999999999999E-3</v>
      </c>
      <c r="AB170">
        <v>7.3089416463281197E-3</v>
      </c>
      <c r="AC170">
        <v>-8.3038983802972893E-2</v>
      </c>
      <c r="AD170">
        <v>-9.0347925449300995E-2</v>
      </c>
      <c r="AE170">
        <v>2.8170845351675202E-3</v>
      </c>
      <c r="AF170">
        <v>-7.4451519857998702E-3</v>
      </c>
    </row>
    <row r="171" spans="1:32" x14ac:dyDescent="0.2">
      <c r="A171" s="1">
        <v>43921</v>
      </c>
      <c r="B171">
        <v>0.12625389279678201</v>
      </c>
      <c r="C171">
        <v>0.111553948480767</v>
      </c>
      <c r="D171">
        <v>0.101480574174504</v>
      </c>
      <c r="E171">
        <v>0.147699699237368</v>
      </c>
      <c r="F171">
        <v>0.165797357194367</v>
      </c>
      <c r="G171">
        <v>0.16260422121521001</v>
      </c>
      <c r="H171">
        <v>0.195270428761078</v>
      </c>
      <c r="I171">
        <v>0.279556208351736</v>
      </c>
      <c r="J171">
        <v>0.16497996197297499</v>
      </c>
      <c r="K171">
        <v>0.18519451721374999</v>
      </c>
      <c r="L171">
        <v>0.25917818880250199</v>
      </c>
      <c r="M171">
        <v>0.27104130767542201</v>
      </c>
      <c r="N171">
        <v>0.20074284335172901</v>
      </c>
      <c r="O171">
        <v>0.25970965049582601</v>
      </c>
      <c r="P171">
        <v>0.26014076427115301</v>
      </c>
      <c r="Q171">
        <v>0.27999943196015498</v>
      </c>
      <c r="R171">
        <v>-15.44</v>
      </c>
      <c r="S171">
        <v>-4.22</v>
      </c>
      <c r="T171">
        <v>-11.3</v>
      </c>
      <c r="U171">
        <v>0.12</v>
      </c>
      <c r="V171">
        <v>0.90654999999999997</v>
      </c>
      <c r="W171">
        <v>-3.8593009152065898E-4</v>
      </c>
      <c r="X171">
        <v>-0.15440000000000001</v>
      </c>
      <c r="Y171">
        <v>-4.2200000000000001E-2</v>
      </c>
      <c r="Z171">
        <v>-0.113</v>
      </c>
      <c r="AA171">
        <v>1.1999999999999999E-3</v>
      </c>
      <c r="AB171">
        <v>8.1360679236963695E-4</v>
      </c>
      <c r="AC171">
        <v>-0.1535268056015</v>
      </c>
      <c r="AD171">
        <v>-0.154340412393869</v>
      </c>
      <c r="AE171">
        <v>-4.2183713750137797E-2</v>
      </c>
      <c r="AF171">
        <v>-0.11295638989965801</v>
      </c>
    </row>
    <row r="172" spans="1:32" x14ac:dyDescent="0.2">
      <c r="A172" s="1">
        <v>43951</v>
      </c>
      <c r="B172">
        <v>9.6804977582502102E-2</v>
      </c>
      <c r="C172">
        <v>0.108168120119139</v>
      </c>
      <c r="D172">
        <v>4.5917400480300498E-2</v>
      </c>
      <c r="E172">
        <v>0.100527459529094</v>
      </c>
      <c r="F172">
        <v>9.3302815338044603E-2</v>
      </c>
      <c r="G172">
        <v>0.139293876403321</v>
      </c>
      <c r="H172">
        <v>0.14743097014004899</v>
      </c>
      <c r="I172">
        <v>0.223513165046484</v>
      </c>
      <c r="J172">
        <v>9.2596791905027204E-2</v>
      </c>
      <c r="K172">
        <v>0.152624367846906</v>
      </c>
      <c r="L172">
        <v>0.200481734801394</v>
      </c>
      <c r="M172">
        <v>0.210046858254297</v>
      </c>
      <c r="N172">
        <v>0.13632693134389001</v>
      </c>
      <c r="O172">
        <v>0.20896928310360599</v>
      </c>
      <c r="P172">
        <v>0.203705053314686</v>
      </c>
      <c r="Q172">
        <v>0.231588186588852</v>
      </c>
      <c r="R172">
        <v>6.7</v>
      </c>
      <c r="S172">
        <v>5.03</v>
      </c>
      <c r="T172">
        <v>-3.82</v>
      </c>
      <c r="U172">
        <v>0</v>
      </c>
      <c r="V172">
        <v>0.91264999999999996</v>
      </c>
      <c r="W172">
        <v>6.7288070156086297E-3</v>
      </c>
      <c r="X172">
        <v>6.7000000000000004E-2</v>
      </c>
      <c r="Y172">
        <v>5.0299999999999997E-2</v>
      </c>
      <c r="Z172">
        <v>-3.8199999999999998E-2</v>
      </c>
      <c r="AA172">
        <v>0</v>
      </c>
      <c r="AB172">
        <v>6.7288070156086297E-3</v>
      </c>
      <c r="AC172">
        <v>7.4179637085654407E-2</v>
      </c>
      <c r="AD172">
        <v>6.7450830070045806E-2</v>
      </c>
      <c r="AE172">
        <v>5.0638458992885098E-2</v>
      </c>
      <c r="AF172">
        <v>-3.8457040427996199E-2</v>
      </c>
    </row>
    <row r="173" spans="1:32" x14ac:dyDescent="0.2">
      <c r="A173" s="1">
        <v>43982</v>
      </c>
      <c r="B173">
        <v>2.6149385540592599E-2</v>
      </c>
      <c r="C173">
        <v>8.1248715343984396E-2</v>
      </c>
      <c r="D173">
        <v>2.04643822967722E-2</v>
      </c>
      <c r="E173">
        <v>3.5578573667500897E-2</v>
      </c>
      <c r="F173">
        <v>3.6030707619998499E-2</v>
      </c>
      <c r="G173">
        <v>0.15224571683240101</v>
      </c>
      <c r="H173">
        <v>0.11661664299025901</v>
      </c>
      <c r="I173">
        <v>0.17859171395602699</v>
      </c>
      <c r="J173">
        <v>7.0460583318208606E-2</v>
      </c>
      <c r="K173">
        <v>0.14730296523842701</v>
      </c>
      <c r="L173">
        <v>0.17896090555303301</v>
      </c>
      <c r="M173">
        <v>0.17190647578103099</v>
      </c>
      <c r="N173">
        <v>7.9613027158975599E-2</v>
      </c>
      <c r="O173">
        <v>0.20989302347857999</v>
      </c>
      <c r="P173">
        <v>0.18425760017395101</v>
      </c>
      <c r="Q173">
        <v>0.19486616078183999</v>
      </c>
      <c r="R173">
        <v>5.43</v>
      </c>
      <c r="S173">
        <v>1.21</v>
      </c>
      <c r="T173">
        <v>-4.1399999999999997</v>
      </c>
      <c r="U173">
        <v>0.01</v>
      </c>
      <c r="V173">
        <v>0.90100000000000002</v>
      </c>
      <c r="W173">
        <v>-1.27650249274092E-2</v>
      </c>
      <c r="X173">
        <v>5.4300000000000001E-2</v>
      </c>
      <c r="Y173">
        <v>1.21E-2</v>
      </c>
      <c r="Z173">
        <v>-4.1399999999999999E-2</v>
      </c>
      <c r="AA173">
        <v>1E-4</v>
      </c>
      <c r="AB173">
        <v>-1.26663014299019E-2</v>
      </c>
      <c r="AC173">
        <v>4.0940557716539802E-2</v>
      </c>
      <c r="AD173">
        <v>5.3606859146441699E-2</v>
      </c>
      <c r="AE173">
        <v>1.1945543198378299E-2</v>
      </c>
      <c r="AF173">
        <v>-4.0871527968005299E-2</v>
      </c>
    </row>
    <row r="174" spans="1:32" x14ac:dyDescent="0.2">
      <c r="A174" s="1">
        <v>44012</v>
      </c>
      <c r="B174">
        <v>-7.9296040314882799E-2</v>
      </c>
      <c r="C174">
        <v>5.2081772009229997E-2</v>
      </c>
      <c r="D174">
        <v>-1.01312877110828E-2</v>
      </c>
      <c r="E174">
        <v>-1.8737223804862001E-2</v>
      </c>
      <c r="F174">
        <v>-5.1606352692703202E-2</v>
      </c>
      <c r="G174">
        <v>0.117002055788039</v>
      </c>
      <c r="H174">
        <v>4.9291254722353899E-2</v>
      </c>
      <c r="I174">
        <v>0.118562063307896</v>
      </c>
      <c r="J174">
        <v>-1.9319797826285099E-2</v>
      </c>
      <c r="K174">
        <v>0.11068425377829701</v>
      </c>
      <c r="L174">
        <v>0.11540213525557599</v>
      </c>
      <c r="M174">
        <v>0.141599669919207</v>
      </c>
      <c r="N174">
        <v>-3.0693769078510898E-2</v>
      </c>
      <c r="O174">
        <v>0.15557258656780601</v>
      </c>
      <c r="P174">
        <v>0.134006235796961</v>
      </c>
      <c r="Q174">
        <v>0.14945910270056101</v>
      </c>
      <c r="R174">
        <v>4.04</v>
      </c>
      <c r="S174">
        <v>-1.2</v>
      </c>
      <c r="T174">
        <v>1.74</v>
      </c>
      <c r="U174">
        <v>0.01</v>
      </c>
      <c r="V174">
        <v>0.89024999999999999</v>
      </c>
      <c r="W174">
        <v>-1.19311875693674E-2</v>
      </c>
      <c r="X174">
        <v>4.0399999999999998E-2</v>
      </c>
      <c r="Y174">
        <v>-1.2E-2</v>
      </c>
      <c r="Z174">
        <v>1.7399999999999999E-2</v>
      </c>
      <c r="AA174">
        <v>1E-4</v>
      </c>
      <c r="AB174">
        <v>-1.1832380688124301E-2</v>
      </c>
      <c r="AC174">
        <v>2.8085599334073199E-2</v>
      </c>
      <c r="AD174">
        <v>3.99179800221975E-2</v>
      </c>
      <c r="AE174">
        <v>-1.1856825749167599E-2</v>
      </c>
      <c r="AF174">
        <v>1.7192397336292999E-2</v>
      </c>
    </row>
    <row r="175" spans="1:32" x14ac:dyDescent="0.2">
      <c r="A175" s="1">
        <v>44043</v>
      </c>
      <c r="B175">
        <v>-2.6243031199246401E-2</v>
      </c>
      <c r="C175">
        <v>9.4389457098340901E-2</v>
      </c>
      <c r="D175">
        <v>5.3624434831923097E-3</v>
      </c>
      <c r="E175">
        <v>-1.0818530725258801E-2</v>
      </c>
      <c r="F175">
        <v>3.6871384975136E-2</v>
      </c>
      <c r="G175">
        <v>7.2503375766508504E-2</v>
      </c>
      <c r="H175">
        <v>1.7388590238343799E-3</v>
      </c>
      <c r="I175">
        <v>8.4284435441264099E-2</v>
      </c>
      <c r="J175">
        <v>6.5313597661517495E-2</v>
      </c>
      <c r="K175">
        <v>8.7176783413842301E-2</v>
      </c>
      <c r="L175">
        <v>7.0893659575666096E-2</v>
      </c>
      <c r="M175">
        <v>0.110571294650455</v>
      </c>
      <c r="N175">
        <v>4.0197659561990201E-2</v>
      </c>
      <c r="O175">
        <v>0.123441474372347</v>
      </c>
      <c r="P175">
        <v>7.7870437128734399E-2</v>
      </c>
      <c r="Q175">
        <v>0.11517605797043599</v>
      </c>
      <c r="R175">
        <v>3.99</v>
      </c>
      <c r="S175">
        <v>2.69</v>
      </c>
      <c r="T175">
        <v>-4.75</v>
      </c>
      <c r="U175">
        <v>0.01</v>
      </c>
      <c r="V175">
        <v>0.84894999999999998</v>
      </c>
      <c r="W175">
        <v>-4.6391463072170798E-2</v>
      </c>
      <c r="X175">
        <v>3.9899999999999998E-2</v>
      </c>
      <c r="Y175">
        <v>2.69E-2</v>
      </c>
      <c r="Z175">
        <v>-4.7500000000000001E-2</v>
      </c>
      <c r="AA175">
        <v>1E-4</v>
      </c>
      <c r="AB175">
        <v>-4.6296102218477998E-2</v>
      </c>
      <c r="AC175">
        <v>-8.2471215950575792E-3</v>
      </c>
      <c r="AD175">
        <v>3.8048980623420402E-2</v>
      </c>
      <c r="AE175">
        <v>2.5652069643358599E-2</v>
      </c>
      <c r="AF175">
        <v>-4.52964055040719E-2</v>
      </c>
    </row>
    <row r="176" spans="1:32" x14ac:dyDescent="0.2">
      <c r="A176" s="1">
        <v>44074</v>
      </c>
      <c r="B176">
        <v>4.1776114599273002E-2</v>
      </c>
      <c r="C176">
        <v>0.10086851669525999</v>
      </c>
      <c r="D176">
        <v>2.41317801808297E-2</v>
      </c>
      <c r="E176">
        <v>7.5632173480036698E-3</v>
      </c>
      <c r="F176">
        <v>6.6654181369557003E-2</v>
      </c>
      <c r="G176">
        <v>1.0268332998708199E-2</v>
      </c>
      <c r="H176">
        <v>-3.02365994683182E-2</v>
      </c>
      <c r="I176">
        <v>5.0196776736099201E-2</v>
      </c>
      <c r="J176">
        <v>0.100608122955209</v>
      </c>
      <c r="K176">
        <v>4.8396968646140799E-2</v>
      </c>
      <c r="L176">
        <v>1.7972791127702802E-2</v>
      </c>
      <c r="M176">
        <v>8.2099348403429195E-2</v>
      </c>
      <c r="N176">
        <v>7.89657019986192E-2</v>
      </c>
      <c r="O176">
        <v>7.4827728179364797E-2</v>
      </c>
      <c r="P176">
        <v>3.9944799669282299E-2</v>
      </c>
      <c r="Q176">
        <v>9.9500658819689794E-2</v>
      </c>
      <c r="R176">
        <v>4.95</v>
      </c>
      <c r="S176">
        <v>2.91</v>
      </c>
      <c r="T176">
        <v>-1.74</v>
      </c>
      <c r="U176">
        <v>0.01</v>
      </c>
      <c r="V176">
        <v>0.83774999999999999</v>
      </c>
      <c r="W176">
        <v>-1.31927675363684E-2</v>
      </c>
      <c r="X176">
        <v>4.9500000000000002E-2</v>
      </c>
      <c r="Y176">
        <v>2.9100000000000001E-2</v>
      </c>
      <c r="Z176">
        <v>-1.7399999999999999E-2</v>
      </c>
      <c r="AA176">
        <v>1E-4</v>
      </c>
      <c r="AB176">
        <v>-1.30940868131221E-2</v>
      </c>
      <c r="AC176">
        <v>3.57528711938278E-2</v>
      </c>
      <c r="AD176">
        <v>4.8846958006949798E-2</v>
      </c>
      <c r="AE176">
        <v>2.8716090464691701E-2</v>
      </c>
      <c r="AF176">
        <v>-1.71704458448672E-2</v>
      </c>
    </row>
    <row r="177" spans="1:32" x14ac:dyDescent="0.2">
      <c r="A177" s="1">
        <v>44104</v>
      </c>
      <c r="B177">
        <v>0.10636251697870901</v>
      </c>
      <c r="C177">
        <v>7.0837158239696996E-2</v>
      </c>
      <c r="D177">
        <v>4.7992685770833397E-2</v>
      </c>
      <c r="E177">
        <v>2.6744855561215301E-2</v>
      </c>
      <c r="F177">
        <v>8.6203688463262401E-2</v>
      </c>
      <c r="G177">
        <v>-5.1153785213843797E-2</v>
      </c>
      <c r="H177">
        <v>-4.48128500618072E-2</v>
      </c>
      <c r="I177">
        <v>2.1101295722426201E-2</v>
      </c>
      <c r="J177">
        <v>9.4861019945895395E-2</v>
      </c>
      <c r="K177">
        <v>-2.1038617074873599E-2</v>
      </c>
      <c r="L177">
        <v>-2.08629160762933E-2</v>
      </c>
      <c r="M177">
        <v>4.7492415920395603E-2</v>
      </c>
      <c r="N177">
        <v>9.8591180832245801E-2</v>
      </c>
      <c r="O177">
        <v>8.8169274744650701E-3</v>
      </c>
      <c r="P177">
        <v>9.5054461045134993E-3</v>
      </c>
      <c r="Q177">
        <v>8.65541191193719E-2</v>
      </c>
      <c r="R177">
        <v>-2.97</v>
      </c>
      <c r="S177">
        <v>0.85</v>
      </c>
      <c r="T177">
        <v>-3.74</v>
      </c>
      <c r="U177">
        <v>0.01</v>
      </c>
      <c r="V177">
        <v>0.85324999999999995</v>
      </c>
      <c r="W177">
        <v>1.8501939719486798E-2</v>
      </c>
      <c r="X177">
        <v>-2.9700000000000001E-2</v>
      </c>
      <c r="Y177">
        <v>8.5000000000000006E-3</v>
      </c>
      <c r="Z177">
        <v>-3.7400000000000003E-2</v>
      </c>
      <c r="AA177">
        <v>1E-4</v>
      </c>
      <c r="AB177">
        <v>1.8603789913458801E-2</v>
      </c>
      <c r="AC177">
        <v>-1.1645717696209999E-2</v>
      </c>
      <c r="AD177">
        <v>-3.02495076096688E-2</v>
      </c>
      <c r="AE177">
        <v>8.6572664876156408E-3</v>
      </c>
      <c r="AF177">
        <v>-3.80919725455088E-2</v>
      </c>
    </row>
    <row r="178" spans="1:32" x14ac:dyDescent="0.2">
      <c r="A178" s="1">
        <v>44135</v>
      </c>
      <c r="B178">
        <v>4.6747281008809399E-2</v>
      </c>
      <c r="C178">
        <v>2.3645711262849398E-2</v>
      </c>
      <c r="D178">
        <v>2.6169585119135402E-2</v>
      </c>
      <c r="E178">
        <v>-3.8815425795599599E-3</v>
      </c>
      <c r="F178">
        <v>0.103352701040533</v>
      </c>
      <c r="G178">
        <v>-2.76924474055627E-2</v>
      </c>
      <c r="H178">
        <v>-5.1224979417344697E-2</v>
      </c>
      <c r="I178">
        <v>1.3894040365826499E-2</v>
      </c>
      <c r="J178">
        <v>-8.7573235137645908E-3</v>
      </c>
      <c r="K178">
        <v>-8.4207078648472697E-2</v>
      </c>
      <c r="L178">
        <v>-8.6841619606728496E-2</v>
      </c>
      <c r="M178">
        <v>-1.5956258596594199E-2</v>
      </c>
      <c r="N178">
        <v>1.6920657546689401E-2</v>
      </c>
      <c r="O178">
        <v>-4.5623628196637997E-2</v>
      </c>
      <c r="P178">
        <v>-4.4298372137986999E-2</v>
      </c>
      <c r="Q178">
        <v>2.9948600439948202E-2</v>
      </c>
      <c r="R178">
        <v>-4.72</v>
      </c>
      <c r="S178">
        <v>1.21</v>
      </c>
      <c r="T178">
        <v>-0.2</v>
      </c>
      <c r="U178">
        <v>0.01</v>
      </c>
      <c r="V178">
        <v>0.85845000000000005</v>
      </c>
      <c r="W178">
        <v>6.09434515089369E-3</v>
      </c>
      <c r="X178">
        <v>-4.7199999999999999E-2</v>
      </c>
      <c r="Y178">
        <v>1.21E-2</v>
      </c>
      <c r="Z178">
        <v>-2E-3</v>
      </c>
      <c r="AA178">
        <v>1E-4</v>
      </c>
      <c r="AB178">
        <v>6.19495458540875E-3</v>
      </c>
      <c r="AC178">
        <v>-4.1292698505713502E-2</v>
      </c>
      <c r="AD178">
        <v>-4.7487653091122198E-2</v>
      </c>
      <c r="AE178">
        <v>1.21737415763258E-2</v>
      </c>
      <c r="AF178">
        <v>-2.0121886903017899E-3</v>
      </c>
    </row>
    <row r="179" spans="1:32" x14ac:dyDescent="0.2">
      <c r="A179" s="1">
        <v>44165</v>
      </c>
      <c r="B179">
        <v>-4.6882583878086297E-2</v>
      </c>
      <c r="C179">
        <v>1.5351437306302201E-3</v>
      </c>
      <c r="D179">
        <v>-2.8382269853387002E-2</v>
      </c>
      <c r="E179">
        <v>-3.4475021974796898E-2</v>
      </c>
      <c r="F179">
        <v>4.0111911196233301E-2</v>
      </c>
      <c r="G179">
        <v>-4.9455549083700097E-2</v>
      </c>
      <c r="H179">
        <v>-9.5026345318188099E-2</v>
      </c>
      <c r="I179">
        <v>-6.2160488112802696E-3</v>
      </c>
      <c r="J179">
        <v>-0.144024646462655</v>
      </c>
      <c r="K179">
        <v>-0.168148418991108</v>
      </c>
      <c r="L179">
        <v>-0.14327320355369999</v>
      </c>
      <c r="M179">
        <v>-8.0836630762904496E-2</v>
      </c>
      <c r="N179">
        <v>-0.136447595714666</v>
      </c>
      <c r="O179">
        <v>-0.14037166966624201</v>
      </c>
      <c r="P179">
        <v>-0.119215433082324</v>
      </c>
      <c r="Q179">
        <v>-3.9234000683768401E-2</v>
      </c>
      <c r="R179">
        <v>16.62</v>
      </c>
      <c r="S179">
        <v>0.3</v>
      </c>
      <c r="T179">
        <v>10.76</v>
      </c>
      <c r="U179">
        <v>0.01</v>
      </c>
      <c r="V179">
        <v>0.83825000000000005</v>
      </c>
      <c r="W179">
        <v>-2.3530782223775401E-2</v>
      </c>
      <c r="X179">
        <v>0.16619999999999999</v>
      </c>
      <c r="Y179">
        <v>3.0000000000000001E-3</v>
      </c>
      <c r="Z179">
        <v>0.1076</v>
      </c>
      <c r="AA179">
        <v>1E-4</v>
      </c>
      <c r="AB179">
        <v>-2.3433135301997799E-2</v>
      </c>
      <c r="AC179">
        <v>0.138856048692411</v>
      </c>
      <c r="AD179">
        <v>0.162289183994409</v>
      </c>
      <c r="AE179">
        <v>2.92940765332867E-3</v>
      </c>
      <c r="AF179">
        <v>0.10506808783272201</v>
      </c>
    </row>
    <row r="180" spans="1:32" x14ac:dyDescent="0.2">
      <c r="A180" s="1">
        <v>44196</v>
      </c>
      <c r="B180">
        <v>-7.5624004264043504E-2</v>
      </c>
      <c r="C180">
        <v>4.0822296323782599E-2</v>
      </c>
      <c r="D180">
        <v>-6.5655541902050293E-2</v>
      </c>
      <c r="E180">
        <v>-5.2332720438470003E-2</v>
      </c>
      <c r="F180">
        <v>4.9959350643301502E-2</v>
      </c>
      <c r="G180">
        <v>-4.8845517183341803E-3</v>
      </c>
      <c r="H180">
        <v>-0.12465330283656501</v>
      </c>
      <c r="I180">
        <v>-3.7539193442050899E-3</v>
      </c>
      <c r="J180">
        <v>-0.169647972490125</v>
      </c>
      <c r="K180">
        <v>-0.167109660354366</v>
      </c>
      <c r="L180">
        <v>-0.18675851406477501</v>
      </c>
      <c r="M180">
        <v>-0.10899804644517699</v>
      </c>
      <c r="N180">
        <v>-0.172112150698295</v>
      </c>
      <c r="O180">
        <v>-0.141915528177988</v>
      </c>
      <c r="P180">
        <v>-0.15790876016850799</v>
      </c>
      <c r="Q180">
        <v>-6.6687452167597097E-2</v>
      </c>
      <c r="R180">
        <v>5.67</v>
      </c>
      <c r="S180">
        <v>4.66</v>
      </c>
      <c r="T180">
        <v>-1.77</v>
      </c>
      <c r="U180">
        <v>0.01</v>
      </c>
      <c r="V180">
        <v>0.81864999999999999</v>
      </c>
      <c r="W180">
        <v>-2.33820459290188E-2</v>
      </c>
      <c r="X180">
        <v>5.67E-2</v>
      </c>
      <c r="Y180">
        <v>4.6600000000000003E-2</v>
      </c>
      <c r="Z180">
        <v>-1.77E-2</v>
      </c>
      <c r="AA180">
        <v>1E-4</v>
      </c>
      <c r="AB180">
        <v>-2.32843841336118E-2</v>
      </c>
      <c r="AC180">
        <v>3.2089853862212997E-2</v>
      </c>
      <c r="AD180">
        <v>5.53742379958247E-2</v>
      </c>
      <c r="AE180">
        <v>4.55103966597077E-2</v>
      </c>
      <c r="AF180">
        <v>-1.7286137787056399E-2</v>
      </c>
    </row>
    <row r="181" spans="1:32" x14ac:dyDescent="0.2">
      <c r="A181" s="1">
        <v>44227</v>
      </c>
      <c r="B181">
        <v>-2.0231350281077198E-2</v>
      </c>
      <c r="C181">
        <v>-9.0831762817929207E-3</v>
      </c>
      <c r="D181">
        <v>-4.1405555632989997E-2</v>
      </c>
      <c r="E181">
        <v>-7.4359219893567793E-2</v>
      </c>
      <c r="F181">
        <v>-2.1466063159584801E-2</v>
      </c>
      <c r="G181">
        <v>-2.6440858172074502E-3</v>
      </c>
      <c r="H181">
        <v>-0.106628662636974</v>
      </c>
      <c r="I181">
        <v>-4.0212636755682402E-2</v>
      </c>
      <c r="J181">
        <v>-0.124228868698869</v>
      </c>
      <c r="K181">
        <v>-0.17963669679399599</v>
      </c>
      <c r="L181">
        <v>-0.17040288520184299</v>
      </c>
      <c r="M181">
        <v>-0.138980730083923</v>
      </c>
      <c r="N181">
        <v>-0.16122031326726299</v>
      </c>
      <c r="O181">
        <v>-0.147466162481108</v>
      </c>
      <c r="P181">
        <v>-0.14373174932786401</v>
      </c>
      <c r="Q181">
        <v>-9.6430352075709699E-2</v>
      </c>
      <c r="R181">
        <v>-1.25</v>
      </c>
      <c r="S181">
        <v>1.66</v>
      </c>
      <c r="T181">
        <v>-0.28999999999999998</v>
      </c>
      <c r="U181">
        <v>0</v>
      </c>
      <c r="V181">
        <v>0.82394999999999996</v>
      </c>
      <c r="W181">
        <v>6.4740731692420903E-3</v>
      </c>
      <c r="X181">
        <v>-1.2500000000000001E-2</v>
      </c>
      <c r="Y181">
        <v>1.66E-2</v>
      </c>
      <c r="Z181">
        <v>-2.8999999999999998E-3</v>
      </c>
      <c r="AA181">
        <v>0</v>
      </c>
      <c r="AB181">
        <v>6.4740731692420903E-3</v>
      </c>
      <c r="AC181">
        <v>-6.1068527453733701E-3</v>
      </c>
      <c r="AD181">
        <v>-1.2580925914615499E-2</v>
      </c>
      <c r="AE181">
        <v>1.6707469614609401E-2</v>
      </c>
      <c r="AF181">
        <v>-2.9187748121908001E-3</v>
      </c>
    </row>
    <row r="182" spans="1:32" x14ac:dyDescent="0.2">
      <c r="A182" s="1">
        <v>44255</v>
      </c>
      <c r="B182">
        <v>3.00923659762353E-2</v>
      </c>
      <c r="C182">
        <v>-9.1854175106112407E-2</v>
      </c>
      <c r="D182">
        <v>-3.1354414872574198E-2</v>
      </c>
      <c r="E182">
        <v>-0.118500956332543</v>
      </c>
      <c r="F182">
        <v>1.1886199114979E-2</v>
      </c>
      <c r="G182">
        <v>1.2699039612893001E-3</v>
      </c>
      <c r="H182">
        <v>-9.5592520474408402E-2</v>
      </c>
      <c r="I182">
        <v>-7.4732561835314307E-2</v>
      </c>
      <c r="J182">
        <v>-7.2334712338531599E-3</v>
      </c>
      <c r="K182">
        <v>-0.16097770677053899</v>
      </c>
      <c r="L182">
        <v>-0.15686553922778401</v>
      </c>
      <c r="M182">
        <v>-0.15402360539959101</v>
      </c>
      <c r="N182">
        <v>-8.5868533809426703E-2</v>
      </c>
      <c r="O182">
        <v>-0.146219641988001</v>
      </c>
      <c r="P182">
        <v>-0.13836121117876199</v>
      </c>
      <c r="Q182">
        <v>-0.13128149306706099</v>
      </c>
      <c r="R182">
        <v>2.6</v>
      </c>
      <c r="S182">
        <v>0.87</v>
      </c>
      <c r="T182">
        <v>5.73</v>
      </c>
      <c r="U182">
        <v>0</v>
      </c>
      <c r="V182">
        <v>0.82809999999999995</v>
      </c>
      <c r="W182">
        <v>5.03671339280287E-3</v>
      </c>
      <c r="X182">
        <v>2.5999999999999999E-2</v>
      </c>
      <c r="Y182">
        <v>8.6999999999999994E-3</v>
      </c>
      <c r="Z182">
        <v>5.7299999999999997E-2</v>
      </c>
      <c r="AA182">
        <v>0</v>
      </c>
      <c r="AB182">
        <v>5.03671339280287E-3</v>
      </c>
      <c r="AC182">
        <v>3.11676679410158E-2</v>
      </c>
      <c r="AD182">
        <v>2.61309545482129E-2</v>
      </c>
      <c r="AE182">
        <v>8.7438194065173804E-3</v>
      </c>
      <c r="AF182">
        <v>5.7588603677407597E-2</v>
      </c>
    </row>
    <row r="183" spans="1:32" x14ac:dyDescent="0.2">
      <c r="A183" s="1">
        <v>44286</v>
      </c>
      <c r="B183">
        <v>2.02501598498614E-2</v>
      </c>
      <c r="C183">
        <v>-0.11101148208582599</v>
      </c>
      <c r="D183">
        <v>2.4503743812606001E-2</v>
      </c>
      <c r="E183">
        <v>-0.11219913623414</v>
      </c>
      <c r="F183">
        <v>-1.4926914353191999E-2</v>
      </c>
      <c r="G183">
        <v>-6.8092342620264404E-3</v>
      </c>
      <c r="H183">
        <v>-6.3589138162229705E-2</v>
      </c>
      <c r="I183">
        <v>-9.7287274540071494E-2</v>
      </c>
      <c r="J183">
        <v>2.9898552339696599E-2</v>
      </c>
      <c r="K183">
        <v>-0.14674161883477099</v>
      </c>
      <c r="L183">
        <v>-0.12678937267850299</v>
      </c>
      <c r="M183">
        <v>-0.16740578760113101</v>
      </c>
      <c r="N183">
        <v>-5.3662440382193102E-2</v>
      </c>
      <c r="O183">
        <v>-0.13032898674443399</v>
      </c>
      <c r="P183">
        <v>-0.102358743407047</v>
      </c>
      <c r="Q183">
        <v>-0.14201218651175401</v>
      </c>
      <c r="R183">
        <v>3.18</v>
      </c>
      <c r="S183">
        <v>-1.97</v>
      </c>
      <c r="T183">
        <v>3.46</v>
      </c>
      <c r="U183">
        <v>0</v>
      </c>
      <c r="V183">
        <v>0.85255000000000003</v>
      </c>
      <c r="W183">
        <v>2.9525419635309899E-2</v>
      </c>
      <c r="X183">
        <v>3.1800000000000002E-2</v>
      </c>
      <c r="Y183">
        <v>-1.9699999999999999E-2</v>
      </c>
      <c r="Z183">
        <v>3.4599999999999999E-2</v>
      </c>
      <c r="AA183">
        <v>0</v>
      </c>
      <c r="AB183">
        <v>2.9525419635309899E-2</v>
      </c>
      <c r="AC183">
        <v>6.2264327979712798E-2</v>
      </c>
      <c r="AD183">
        <v>3.2738908344403003E-2</v>
      </c>
      <c r="AE183">
        <v>-2.0281650766815599E-2</v>
      </c>
      <c r="AF183">
        <v>3.5621579519381698E-2</v>
      </c>
    </row>
    <row r="184" spans="1:32" x14ac:dyDescent="0.2">
      <c r="A184" s="1">
        <v>44316</v>
      </c>
      <c r="B184">
        <v>5.4964227325391801E-4</v>
      </c>
      <c r="C184">
        <v>-4.9857216479026599E-2</v>
      </c>
      <c r="D184">
        <v>1.4257281573138899E-2</v>
      </c>
      <c r="E184">
        <v>-6.2009779979842E-2</v>
      </c>
      <c r="F184">
        <v>-3.0154029532519E-2</v>
      </c>
      <c r="G184">
        <v>-4.4753302239197101E-2</v>
      </c>
      <c r="H184">
        <v>-4.3459309737041103E-2</v>
      </c>
      <c r="I184">
        <v>-7.05602837102728E-2</v>
      </c>
      <c r="J184">
        <v>3.2311381718272199E-2</v>
      </c>
      <c r="K184">
        <v>-8.9422828645698602E-2</v>
      </c>
      <c r="L184">
        <v>-0.108099860103616</v>
      </c>
      <c r="M184">
        <v>-0.14212957913188901</v>
      </c>
      <c r="N184">
        <v>-2.0003077811970402E-2</v>
      </c>
      <c r="O184">
        <v>-7.8873333284941796E-2</v>
      </c>
      <c r="P184">
        <v>-7.7200483322124702E-2</v>
      </c>
      <c r="Q184">
        <v>-0.1102834913597</v>
      </c>
      <c r="R184">
        <v>5.29</v>
      </c>
      <c r="S184">
        <v>2.14</v>
      </c>
      <c r="T184">
        <v>-3.19</v>
      </c>
      <c r="U184">
        <v>0</v>
      </c>
      <c r="V184">
        <v>0.83194999999999997</v>
      </c>
      <c r="W184">
        <v>-2.4162805700545499E-2</v>
      </c>
      <c r="X184">
        <v>5.2900000000000003E-2</v>
      </c>
      <c r="Y184">
        <v>2.1399999999999999E-2</v>
      </c>
      <c r="Z184">
        <v>-3.1899999999999998E-2</v>
      </c>
      <c r="AA184">
        <v>0</v>
      </c>
      <c r="AB184">
        <v>-2.4162805700545499E-2</v>
      </c>
      <c r="AC184">
        <v>2.74589818778956E-2</v>
      </c>
      <c r="AD184">
        <v>5.16217875784412E-2</v>
      </c>
      <c r="AE184">
        <v>2.08829159580083E-2</v>
      </c>
      <c r="AF184">
        <v>-3.1129206498152599E-2</v>
      </c>
    </row>
    <row r="185" spans="1:32" x14ac:dyDescent="0.2">
      <c r="A185" s="1">
        <v>44347</v>
      </c>
      <c r="B185">
        <v>2.38425522953188E-2</v>
      </c>
      <c r="C185">
        <v>-3.3127514733295401E-3</v>
      </c>
      <c r="D185">
        <v>-3.0367937218916301E-3</v>
      </c>
      <c r="E185">
        <v>-2.17130789948645E-2</v>
      </c>
      <c r="F185">
        <v>-6.0126504801351302E-2</v>
      </c>
      <c r="G185">
        <v>-3.4076565817827899E-2</v>
      </c>
      <c r="H185">
        <v>-1.4053044253669E-2</v>
      </c>
      <c r="I185">
        <v>-5.5412298107406201E-2</v>
      </c>
      <c r="J185">
        <v>-2.63300630397327E-3</v>
      </c>
      <c r="K185">
        <v>-2.5571841003624599E-2</v>
      </c>
      <c r="L185">
        <v>-8.4197750447747202E-2</v>
      </c>
      <c r="M185">
        <v>-0.14535469417560501</v>
      </c>
      <c r="N185">
        <v>-7.8841985308065598E-4</v>
      </c>
      <c r="O185">
        <v>-8.3332731880874193E-3</v>
      </c>
      <c r="P185">
        <v>-6.9751619165147299E-2</v>
      </c>
      <c r="Q185">
        <v>-0.110340409279612</v>
      </c>
      <c r="R185">
        <v>4.5199999999999996</v>
      </c>
      <c r="S185">
        <v>-0.99</v>
      </c>
      <c r="T185">
        <v>2.06</v>
      </c>
      <c r="U185">
        <v>0</v>
      </c>
      <c r="V185">
        <v>0.81784999999999997</v>
      </c>
      <c r="W185">
        <v>-1.6948133902277802E-2</v>
      </c>
      <c r="X185">
        <v>4.5199999999999997E-2</v>
      </c>
      <c r="Y185">
        <v>-9.9000000000000008E-3</v>
      </c>
      <c r="Z185">
        <v>2.06E-2</v>
      </c>
      <c r="AA185">
        <v>0</v>
      </c>
      <c r="AB185">
        <v>-1.6948133902277802E-2</v>
      </c>
      <c r="AC185">
        <v>2.74858104453393E-2</v>
      </c>
      <c r="AD185">
        <v>4.4433944347617001E-2</v>
      </c>
      <c r="AE185">
        <v>-9.7322134743674498E-3</v>
      </c>
      <c r="AF185">
        <v>2.0250868441613099E-2</v>
      </c>
    </row>
    <row r="186" spans="1:32" x14ac:dyDescent="0.2">
      <c r="A186" s="1">
        <v>44377</v>
      </c>
      <c r="B186">
        <v>5.2485195156820201E-2</v>
      </c>
      <c r="C186">
        <v>-8.5007287535624892E-3</v>
      </c>
      <c r="D186">
        <v>-2.47373757412667E-2</v>
      </c>
      <c r="E186">
        <v>1.6007072774830499E-2</v>
      </c>
      <c r="F186">
        <v>-2.69550589828049E-2</v>
      </c>
      <c r="G186">
        <v>-2.6576063808891701E-2</v>
      </c>
      <c r="H186">
        <v>2.7699327650972501E-2</v>
      </c>
      <c r="I186">
        <v>2.9490762899252801E-3</v>
      </c>
      <c r="J186">
        <v>-1.5652618592674299E-2</v>
      </c>
      <c r="K186">
        <v>-7.8676118974995799E-3</v>
      </c>
      <c r="L186">
        <v>-6.1839757846024399E-2</v>
      </c>
      <c r="M186">
        <v>-0.122572345704166</v>
      </c>
      <c r="N186">
        <v>5.2728871628097704E-3</v>
      </c>
      <c r="O186">
        <v>1.84035736079299E-2</v>
      </c>
      <c r="P186">
        <v>-5.6243930999772401E-2</v>
      </c>
      <c r="Q186">
        <v>-8.7916727859481097E-2</v>
      </c>
      <c r="R186">
        <v>-1.66</v>
      </c>
      <c r="S186">
        <v>-1.49</v>
      </c>
      <c r="T186">
        <v>-2.5</v>
      </c>
      <c r="U186">
        <v>0</v>
      </c>
      <c r="V186">
        <v>0.84340000000000004</v>
      </c>
      <c r="W186">
        <v>3.12404475148256E-2</v>
      </c>
      <c r="X186">
        <v>-1.66E-2</v>
      </c>
      <c r="Y186">
        <v>-1.49E-2</v>
      </c>
      <c r="Z186">
        <v>-2.5000000000000001E-2</v>
      </c>
      <c r="AA186">
        <v>0</v>
      </c>
      <c r="AB186">
        <v>3.12404475148256E-2</v>
      </c>
      <c r="AC186">
        <v>1.41218560860796E-2</v>
      </c>
      <c r="AD186">
        <v>-1.7118591428745899E-2</v>
      </c>
      <c r="AE186">
        <v>-1.5365482667970901E-2</v>
      </c>
      <c r="AF186">
        <v>-2.5781011187870601E-2</v>
      </c>
    </row>
    <row r="187" spans="1:32" x14ac:dyDescent="0.2">
      <c r="A187" s="1">
        <v>44408</v>
      </c>
      <c r="B187">
        <v>8.8665764575024106E-2</v>
      </c>
      <c r="C187">
        <v>2.6642353173821701E-2</v>
      </c>
      <c r="D187">
        <v>-1.4998336477087099E-3</v>
      </c>
      <c r="E187">
        <v>5.3860336875669295E-4</v>
      </c>
      <c r="F187">
        <v>2.5270098565948401E-2</v>
      </c>
      <c r="G187">
        <v>1.3382308129773E-2</v>
      </c>
      <c r="H187">
        <v>2.2836342155799001E-2</v>
      </c>
      <c r="I187">
        <v>2.1521575137604301E-2</v>
      </c>
      <c r="J187">
        <v>7.2372814411196995E-4</v>
      </c>
      <c r="K187">
        <v>2.2345146873441E-2</v>
      </c>
      <c r="L187">
        <v>-1.0478148321665401E-2</v>
      </c>
      <c r="M187">
        <v>-0.12370245909396201</v>
      </c>
      <c r="N187">
        <v>2.9638471122718502E-2</v>
      </c>
      <c r="O187">
        <v>3.9974953546871E-2</v>
      </c>
      <c r="P187">
        <v>-2.5988798571729602E-2</v>
      </c>
      <c r="Q187">
        <v>-9.00330308928569E-2</v>
      </c>
      <c r="R187">
        <v>2.09</v>
      </c>
      <c r="S187">
        <v>0.6</v>
      </c>
      <c r="T187">
        <v>-2.98</v>
      </c>
      <c r="U187">
        <v>0</v>
      </c>
      <c r="V187">
        <v>0.84240000000000004</v>
      </c>
      <c r="W187">
        <v>-1.1856770215793501E-3</v>
      </c>
      <c r="X187">
        <v>2.0899999999999998E-2</v>
      </c>
      <c r="Y187">
        <v>6.0000000000000001E-3</v>
      </c>
      <c r="Z187">
        <v>-2.98E-2</v>
      </c>
      <c r="AA187">
        <v>0</v>
      </c>
      <c r="AB187">
        <v>-1.1856770215793501E-3</v>
      </c>
      <c r="AC187">
        <v>1.9689542328669599E-2</v>
      </c>
      <c r="AD187">
        <v>2.08752193502489E-2</v>
      </c>
      <c r="AE187">
        <v>5.9928859378705198E-3</v>
      </c>
      <c r="AF187">
        <v>-2.97646668247569E-2</v>
      </c>
    </row>
    <row r="188" spans="1:32" x14ac:dyDescent="0.2">
      <c r="A188" s="1">
        <v>44439</v>
      </c>
      <c r="B188">
        <v>4.8935115040877601E-2</v>
      </c>
      <c r="C188">
        <v>5.9109962185168299E-2</v>
      </c>
      <c r="D188">
        <v>2.5281658046737501E-2</v>
      </c>
      <c r="E188">
        <v>-2.0305969568392701E-2</v>
      </c>
      <c r="F188">
        <v>3.65559758743704E-2</v>
      </c>
      <c r="G188">
        <v>2.3472539185666101E-2</v>
      </c>
      <c r="H188">
        <v>2.7683827583774599E-2</v>
      </c>
      <c r="I188">
        <v>2.1556738953122E-2</v>
      </c>
      <c r="J188">
        <v>2.9921132211904702E-2</v>
      </c>
      <c r="K188">
        <v>3.9474107480262997E-2</v>
      </c>
      <c r="L188">
        <v>3.7402058382942201E-2</v>
      </c>
      <c r="M188">
        <v>-0.11001097957899</v>
      </c>
      <c r="N188">
        <v>5.2326367275250599E-2</v>
      </c>
      <c r="O188">
        <v>5.6910497786886699E-2</v>
      </c>
      <c r="P188">
        <v>9.0752251680893507E-3</v>
      </c>
      <c r="Q188">
        <v>-9.5032047785194806E-2</v>
      </c>
      <c r="R188">
        <v>1.45</v>
      </c>
      <c r="S188">
        <v>1.83</v>
      </c>
      <c r="T188">
        <v>-1.18</v>
      </c>
      <c r="U188">
        <v>0</v>
      </c>
      <c r="V188">
        <v>0.84684999999999999</v>
      </c>
      <c r="W188">
        <v>5.28252611585933E-3</v>
      </c>
      <c r="X188">
        <v>1.4500000000000001E-2</v>
      </c>
      <c r="Y188">
        <v>1.83E-2</v>
      </c>
      <c r="Z188">
        <v>-1.18E-2</v>
      </c>
      <c r="AA188">
        <v>0</v>
      </c>
      <c r="AB188">
        <v>5.28252611585933E-3</v>
      </c>
      <c r="AC188">
        <v>1.9859122744539302E-2</v>
      </c>
      <c r="AD188">
        <v>1.45765966286799E-2</v>
      </c>
      <c r="AE188">
        <v>1.83966702279202E-2</v>
      </c>
      <c r="AF188">
        <v>-1.18623338081671E-2</v>
      </c>
    </row>
    <row r="189" spans="1:32" x14ac:dyDescent="0.2">
      <c r="A189" s="1">
        <v>44469</v>
      </c>
      <c r="B189">
        <v>1.4178455042402199E-3</v>
      </c>
      <c r="C189">
        <v>4.3523565525422102E-2</v>
      </c>
      <c r="D189">
        <v>1.3650705326614301E-2</v>
      </c>
      <c r="E189">
        <v>-4.33990908265822E-2</v>
      </c>
      <c r="F189">
        <v>8.8132553704914005E-3</v>
      </c>
      <c r="G189">
        <v>3.5530777004216897E-2</v>
      </c>
      <c r="H189">
        <v>7.3382900744753199E-3</v>
      </c>
      <c r="I189">
        <v>1.2250086624168099E-2</v>
      </c>
      <c r="J189">
        <v>5.2421595222285199E-2</v>
      </c>
      <c r="K189">
        <v>6.7288656874257502E-2</v>
      </c>
      <c r="L189">
        <v>5.61659405863821E-2</v>
      </c>
      <c r="M189">
        <v>-0.102215678041213</v>
      </c>
      <c r="N189">
        <v>6.2718157824490806E-2</v>
      </c>
      <c r="O189">
        <v>6.8888950856506606E-2</v>
      </c>
      <c r="P189">
        <v>1.2331532394046401E-2</v>
      </c>
      <c r="Q189">
        <v>-0.111951408722806</v>
      </c>
      <c r="R189">
        <v>-4.99</v>
      </c>
      <c r="S189">
        <v>-0.6</v>
      </c>
      <c r="T189">
        <v>4.3</v>
      </c>
      <c r="U189">
        <v>0</v>
      </c>
      <c r="V189">
        <v>0.86334999999999995</v>
      </c>
      <c r="W189">
        <v>1.94839700064946E-2</v>
      </c>
      <c r="X189">
        <v>-4.99E-2</v>
      </c>
      <c r="Y189">
        <v>-6.0000000000000001E-3</v>
      </c>
      <c r="Z189">
        <v>4.2999999999999997E-2</v>
      </c>
      <c r="AA189">
        <v>0</v>
      </c>
      <c r="AB189">
        <v>1.94839700064946E-2</v>
      </c>
      <c r="AC189">
        <v>-3.1388280096829597E-2</v>
      </c>
      <c r="AD189">
        <v>-5.0872250103324197E-2</v>
      </c>
      <c r="AE189">
        <v>-6.1169038200389698E-3</v>
      </c>
      <c r="AF189">
        <v>4.3837810710279299E-2</v>
      </c>
    </row>
    <row r="190" spans="1:32" x14ac:dyDescent="0.2">
      <c r="A190" s="1">
        <v>44500</v>
      </c>
      <c r="B190">
        <v>-3.5200802594057397E-2</v>
      </c>
      <c r="C190">
        <v>5.4667054191367997E-2</v>
      </c>
      <c r="D190">
        <v>4.4342139218958299E-2</v>
      </c>
      <c r="E190">
        <v>-8.3755676049078309E-3</v>
      </c>
      <c r="F190">
        <v>-1.92149867290578E-2</v>
      </c>
      <c r="G190">
        <v>6.02565568051864E-2</v>
      </c>
      <c r="H190">
        <v>1.6795919234732601E-2</v>
      </c>
      <c r="I190">
        <v>3.4793633810765801E-3</v>
      </c>
      <c r="J190">
        <v>6.9672947823592193E-2</v>
      </c>
      <c r="K190">
        <v>0.101801586456945</v>
      </c>
      <c r="L190">
        <v>8.01588833557388E-2</v>
      </c>
      <c r="M190">
        <v>-5.72970015893179E-2</v>
      </c>
      <c r="N190">
        <v>5.8674999525631197E-2</v>
      </c>
      <c r="O190">
        <v>9.5255913871856002E-2</v>
      </c>
      <c r="P190">
        <v>2.52891811058715E-2</v>
      </c>
      <c r="Q190">
        <v>-8.5453656396773298E-2</v>
      </c>
      <c r="R190">
        <v>4.2</v>
      </c>
      <c r="S190">
        <v>-1.62</v>
      </c>
      <c r="T190">
        <v>-0.64</v>
      </c>
      <c r="U190">
        <v>0</v>
      </c>
      <c r="V190">
        <v>0.86485000000000001</v>
      </c>
      <c r="W190">
        <v>1.7374181965599299E-3</v>
      </c>
      <c r="X190">
        <v>4.2000000000000003E-2</v>
      </c>
      <c r="Y190">
        <v>-1.6199999999999999E-2</v>
      </c>
      <c r="Z190">
        <v>-6.4000000000000003E-3</v>
      </c>
      <c r="AA190">
        <v>0</v>
      </c>
      <c r="AB190">
        <v>1.7374181965599299E-3</v>
      </c>
      <c r="AC190">
        <v>4.3810389760815499E-2</v>
      </c>
      <c r="AD190">
        <v>4.2072971564255601E-2</v>
      </c>
      <c r="AE190">
        <v>-1.62281461747843E-2</v>
      </c>
      <c r="AF190">
        <v>-6.4111194764579797E-3</v>
      </c>
    </row>
    <row r="191" spans="1:32" x14ac:dyDescent="0.2">
      <c r="A191" s="1">
        <v>44530</v>
      </c>
      <c r="B191">
        <v>-3.7418166068464299E-2</v>
      </c>
      <c r="C191">
        <v>5.8969964972959497E-2</v>
      </c>
      <c r="D191">
        <v>8.4995984408170203E-2</v>
      </c>
      <c r="E191">
        <v>3.25227175817372E-2</v>
      </c>
      <c r="F191">
        <v>-3.2250843085040802E-2</v>
      </c>
      <c r="G191">
        <v>6.0535994358814502E-2</v>
      </c>
      <c r="H191">
        <v>1.8572782648412601E-2</v>
      </c>
      <c r="I191">
        <v>1.25231704330343E-2</v>
      </c>
      <c r="J191">
        <v>4.4329181529273697E-2</v>
      </c>
      <c r="K191">
        <v>0.108165823713769</v>
      </c>
      <c r="L191">
        <v>7.9967946144347199E-2</v>
      </c>
      <c r="M191">
        <v>-9.4984499622113201E-3</v>
      </c>
      <c r="N191">
        <v>5.5760655946057502E-2</v>
      </c>
      <c r="O191">
        <v>0.117874181802925</v>
      </c>
      <c r="P191">
        <v>4.1780797261388197E-2</v>
      </c>
      <c r="Q191">
        <v>-3.07870044446477E-2</v>
      </c>
      <c r="R191">
        <v>-4.29</v>
      </c>
      <c r="S191">
        <v>-0.92</v>
      </c>
      <c r="T191">
        <v>-2.11</v>
      </c>
      <c r="U191">
        <v>0</v>
      </c>
      <c r="V191">
        <v>0.88200000000000001</v>
      </c>
      <c r="W191">
        <v>1.9830028328611901E-2</v>
      </c>
      <c r="X191">
        <v>-4.2900000000000001E-2</v>
      </c>
      <c r="Y191">
        <v>-9.1999999999999998E-3</v>
      </c>
      <c r="Z191">
        <v>-2.1100000000000001E-2</v>
      </c>
      <c r="AA191">
        <v>0</v>
      </c>
      <c r="AB191">
        <v>1.9830028328611901E-2</v>
      </c>
      <c r="AC191">
        <v>-2.39206798866856E-2</v>
      </c>
      <c r="AD191">
        <v>-4.3750708215297501E-2</v>
      </c>
      <c r="AE191">
        <v>-9.3824362606232305E-3</v>
      </c>
      <c r="AF191">
        <v>-2.1518413597733699E-2</v>
      </c>
    </row>
    <row r="192" spans="1:32" x14ac:dyDescent="0.2">
      <c r="A192" s="1">
        <v>44561</v>
      </c>
      <c r="B192">
        <v>-2.1077677258544699E-2</v>
      </c>
      <c r="C192">
        <v>6.4302455322376301E-2</v>
      </c>
      <c r="D192">
        <v>8.2214440560500798E-2</v>
      </c>
      <c r="E192">
        <v>5.2968316900712201E-2</v>
      </c>
      <c r="F192">
        <v>-2.5875430042000599E-2</v>
      </c>
      <c r="G192">
        <v>3.53939210274875E-2</v>
      </c>
      <c r="H192">
        <v>3.20248797938655E-2</v>
      </c>
      <c r="I192">
        <v>7.2638522719864302E-3</v>
      </c>
      <c r="J192">
        <v>2.8530774022213799E-2</v>
      </c>
      <c r="K192">
        <v>0.100646015026697</v>
      </c>
      <c r="L192">
        <v>7.7838214074614595E-2</v>
      </c>
      <c r="M192">
        <v>-4.4374567424826398E-3</v>
      </c>
      <c r="N192">
        <v>5.6925667486949001E-2</v>
      </c>
      <c r="O192">
        <v>0.118038077878566</v>
      </c>
      <c r="P192">
        <v>4.4599752418417897E-2</v>
      </c>
      <c r="Q192">
        <v>-1.8354248390071898E-2</v>
      </c>
      <c r="R192">
        <v>5.16</v>
      </c>
      <c r="S192">
        <v>-1.34</v>
      </c>
      <c r="T192">
        <v>1.86</v>
      </c>
      <c r="U192">
        <v>0.01</v>
      </c>
      <c r="V192">
        <v>0.87955000000000005</v>
      </c>
      <c r="W192">
        <v>-2.7777777777777701E-3</v>
      </c>
      <c r="X192">
        <v>5.16E-2</v>
      </c>
      <c r="Y192">
        <v>-1.34E-2</v>
      </c>
      <c r="Z192">
        <v>1.8599999999999998E-2</v>
      </c>
      <c r="AA192">
        <v>1E-4</v>
      </c>
      <c r="AB192">
        <v>-2.6780555555555598E-3</v>
      </c>
      <c r="AC192">
        <v>4.87786111111113E-2</v>
      </c>
      <c r="AD192">
        <v>5.1456666666666803E-2</v>
      </c>
      <c r="AE192">
        <v>-1.33627777777778E-2</v>
      </c>
      <c r="AF192">
        <v>1.8548333333333299E-2</v>
      </c>
    </row>
    <row r="193" spans="1:32" x14ac:dyDescent="0.2">
      <c r="A193" s="1">
        <v>44592</v>
      </c>
      <c r="B193">
        <v>-2.1535533550784799E-2</v>
      </c>
      <c r="C193">
        <v>1.6185621660295E-2</v>
      </c>
      <c r="D193">
        <v>4.8825467828947401E-2</v>
      </c>
      <c r="E193">
        <v>4.60841572372888E-2</v>
      </c>
      <c r="F193">
        <v>-6.9357826368103099E-3</v>
      </c>
      <c r="G193">
        <v>2.68807079442194E-3</v>
      </c>
      <c r="H193">
        <v>4.8763991999099601E-2</v>
      </c>
      <c r="I193">
        <v>1.0507947126496201E-2</v>
      </c>
      <c r="J193">
        <v>1.10324710773466E-2</v>
      </c>
      <c r="K193">
        <v>7.6810586483061397E-2</v>
      </c>
      <c r="L193">
        <v>7.89859380045594E-2</v>
      </c>
      <c r="M193">
        <v>8.3161155451257497E-4</v>
      </c>
      <c r="N193">
        <v>4.3346422561258903E-2</v>
      </c>
      <c r="O193">
        <v>9.4753561170491898E-2</v>
      </c>
      <c r="P193">
        <v>4.0698613284869199E-2</v>
      </c>
      <c r="Q193">
        <v>-2.4442148323010799E-2</v>
      </c>
      <c r="R193">
        <v>-5.39</v>
      </c>
      <c r="S193">
        <v>-3.22</v>
      </c>
      <c r="T193">
        <v>12.09</v>
      </c>
      <c r="U193">
        <v>0</v>
      </c>
      <c r="V193">
        <v>0.89005000000000001</v>
      </c>
      <c r="W193">
        <v>1.19379228014325E-2</v>
      </c>
      <c r="X193">
        <v>-5.3900000000000003E-2</v>
      </c>
      <c r="Y193">
        <v>-3.2199999999999999E-2</v>
      </c>
      <c r="Z193">
        <v>0.12089999999999999</v>
      </c>
      <c r="AA193">
        <v>0</v>
      </c>
      <c r="AB193">
        <v>1.19379228014325E-2</v>
      </c>
      <c r="AC193">
        <v>-4.2605531237564699E-2</v>
      </c>
      <c r="AD193">
        <v>-5.4543454038997199E-2</v>
      </c>
      <c r="AE193">
        <v>-3.2584401114206102E-2</v>
      </c>
      <c r="AF193">
        <v>0.122343294866693</v>
      </c>
    </row>
    <row r="194" spans="1:32" x14ac:dyDescent="0.2">
      <c r="A194" s="1">
        <v>44620</v>
      </c>
      <c r="B194">
        <v>3.33994223783841E-2</v>
      </c>
      <c r="C194">
        <v>2.1077974305394001E-2</v>
      </c>
      <c r="D194">
        <v>2.7313701412459899E-2</v>
      </c>
      <c r="E194">
        <v>4.73182520367538E-2</v>
      </c>
      <c r="F194">
        <v>7.3222346963283697E-2</v>
      </c>
      <c r="G194">
        <v>2.2429356714230499E-2</v>
      </c>
      <c r="H194">
        <v>5.8921427401026398E-2</v>
      </c>
      <c r="I194">
        <v>1.4807199404061401E-2</v>
      </c>
      <c r="J194">
        <v>2.6131720544882001E-2</v>
      </c>
      <c r="K194">
        <v>4.6303908917023601E-2</v>
      </c>
      <c r="L194">
        <v>6.9364327657139097E-2</v>
      </c>
      <c r="M194">
        <v>-8.3271118600743103E-3</v>
      </c>
      <c r="N194">
        <v>3.1432043260962599E-2</v>
      </c>
      <c r="O194">
        <v>6.9000445129163201E-2</v>
      </c>
      <c r="P194">
        <v>3.6115634987308499E-2</v>
      </c>
      <c r="Q194">
        <v>-3.0024251299014301E-2</v>
      </c>
      <c r="R194">
        <v>-3.77</v>
      </c>
      <c r="S194">
        <v>0.39</v>
      </c>
      <c r="T194">
        <v>0.56999999999999995</v>
      </c>
      <c r="U194">
        <v>0</v>
      </c>
      <c r="V194">
        <v>0.89115</v>
      </c>
      <c r="W194">
        <v>1.2358856244030199E-3</v>
      </c>
      <c r="X194">
        <v>-3.7699999999999997E-2</v>
      </c>
      <c r="Y194">
        <v>3.8999999999999998E-3</v>
      </c>
      <c r="Z194">
        <v>5.7000000000000002E-3</v>
      </c>
      <c r="AA194">
        <v>0</v>
      </c>
      <c r="AB194">
        <v>1.2358856244030199E-3</v>
      </c>
      <c r="AC194">
        <v>-3.65107072636369E-2</v>
      </c>
      <c r="AD194">
        <v>-3.7746592888039901E-2</v>
      </c>
      <c r="AE194">
        <v>3.9048199539351699E-3</v>
      </c>
      <c r="AF194">
        <v>5.7070445480591004E-3</v>
      </c>
    </row>
    <row r="195" spans="1:32" x14ac:dyDescent="0.2">
      <c r="A195" s="1">
        <v>44651</v>
      </c>
      <c r="B195">
        <v>8.5962858043205206E-2</v>
      </c>
      <c r="C195">
        <v>6.0629476304718301E-2</v>
      </c>
      <c r="D195">
        <v>2.7665758979707099E-2</v>
      </c>
      <c r="E195">
        <v>3.2494378304601397E-2</v>
      </c>
      <c r="F195">
        <v>0.14110902398688999</v>
      </c>
      <c r="G195">
        <v>7.6348769300898997E-2</v>
      </c>
      <c r="H195">
        <v>4.1865849893515501E-2</v>
      </c>
      <c r="I195">
        <v>1.52627072420386E-2</v>
      </c>
      <c r="J195">
        <v>8.2178659153243697E-2</v>
      </c>
      <c r="K195">
        <v>6.0030828331266398E-2</v>
      </c>
      <c r="L195">
        <v>7.08991087905574E-2</v>
      </c>
      <c r="M195">
        <v>-1.17051125179928E-2</v>
      </c>
      <c r="N195">
        <v>4.6032800796085398E-2</v>
      </c>
      <c r="O195">
        <v>7.2064114748684405E-2</v>
      </c>
      <c r="P195">
        <v>2.8515000289318901E-2</v>
      </c>
      <c r="Q195">
        <v>-3.6709663413938901E-2</v>
      </c>
      <c r="R195">
        <v>-0.33</v>
      </c>
      <c r="S195">
        <v>0.59</v>
      </c>
      <c r="T195">
        <v>0.4</v>
      </c>
      <c r="U195">
        <v>0</v>
      </c>
      <c r="V195">
        <v>0.90359999999999996</v>
      </c>
      <c r="W195">
        <v>1.39707120013466E-2</v>
      </c>
      <c r="X195">
        <v>-3.3E-3</v>
      </c>
      <c r="Y195">
        <v>5.8999999999999999E-3</v>
      </c>
      <c r="Z195">
        <v>4.0000000000000001E-3</v>
      </c>
      <c r="AA195">
        <v>0</v>
      </c>
      <c r="AB195">
        <v>1.39707120013466E-2</v>
      </c>
      <c r="AC195">
        <v>1.06246086517421E-2</v>
      </c>
      <c r="AD195">
        <v>-3.3461033496044999E-3</v>
      </c>
      <c r="AE195">
        <v>5.98242720080794E-3</v>
      </c>
      <c r="AF195">
        <v>4.0558828480053901E-3</v>
      </c>
    </row>
    <row r="196" spans="1:32" x14ac:dyDescent="0.2">
      <c r="A196" s="1">
        <v>44681</v>
      </c>
      <c r="B196">
        <v>0.111333377728669</v>
      </c>
      <c r="C196">
        <v>3.2406829750548698E-2</v>
      </c>
      <c r="D196">
        <v>7.3886070947988399E-3</v>
      </c>
      <c r="E196">
        <v>7.3403914856426796E-3</v>
      </c>
      <c r="F196">
        <v>0.13152562148389901</v>
      </c>
      <c r="G196">
        <v>6.5435052076008596E-2</v>
      </c>
      <c r="H196">
        <v>1.38349106353614E-2</v>
      </c>
      <c r="I196">
        <v>3.1986513531221099E-3</v>
      </c>
      <c r="J196">
        <v>8.6427791776797699E-2</v>
      </c>
      <c r="K196">
        <v>3.3380686198359898E-2</v>
      </c>
      <c r="L196">
        <v>4.7349670120728597E-2</v>
      </c>
      <c r="M196">
        <v>-2.2517787062702299E-2</v>
      </c>
      <c r="N196">
        <v>3.8848413956850798E-2</v>
      </c>
      <c r="O196">
        <v>3.3820441169127399E-2</v>
      </c>
      <c r="P196">
        <v>8.2266785478848498E-3</v>
      </c>
      <c r="Q196">
        <v>-5.2180841463610003E-2</v>
      </c>
      <c r="R196">
        <v>-5.86</v>
      </c>
      <c r="S196">
        <v>-1.34</v>
      </c>
      <c r="T196">
        <v>2.64</v>
      </c>
      <c r="U196">
        <v>0</v>
      </c>
      <c r="V196">
        <v>0.94850000000000001</v>
      </c>
      <c r="W196">
        <v>4.9690128375387402E-2</v>
      </c>
      <c r="X196">
        <v>-5.8599999999999999E-2</v>
      </c>
      <c r="Y196">
        <v>-1.34E-2</v>
      </c>
      <c r="Z196">
        <v>2.64E-2</v>
      </c>
      <c r="AA196">
        <v>0</v>
      </c>
      <c r="AB196">
        <v>4.9690128375387402E-2</v>
      </c>
      <c r="AC196">
        <v>-1.18217131474102E-2</v>
      </c>
      <c r="AD196">
        <v>-6.1511841522797699E-2</v>
      </c>
      <c r="AE196">
        <v>-1.40658477202302E-2</v>
      </c>
      <c r="AF196">
        <v>2.7711819389110201E-2</v>
      </c>
    </row>
    <row r="197" spans="1:32" x14ac:dyDescent="0.2">
      <c r="A197" s="1">
        <v>44712</v>
      </c>
      <c r="B197">
        <v>7.4416169892932593E-2</v>
      </c>
      <c r="C197">
        <v>1.3788918449313899E-2</v>
      </c>
      <c r="D197">
        <v>3.1572642613392002E-3</v>
      </c>
      <c r="E197">
        <v>2.8750261664753701E-3</v>
      </c>
      <c r="F197">
        <v>5.67596231227896E-2</v>
      </c>
      <c r="G197">
        <v>4.6118337167984198E-2</v>
      </c>
      <c r="H197">
        <v>-9.8742039351390806E-3</v>
      </c>
      <c r="I197">
        <v>-1.6506739318479999E-2</v>
      </c>
      <c r="J197">
        <v>6.5406939105492903E-2</v>
      </c>
      <c r="K197">
        <v>1.65628186270723E-2</v>
      </c>
      <c r="L197">
        <v>1.7614965670936799E-2</v>
      </c>
      <c r="M197">
        <v>-2.7307783168515499E-2</v>
      </c>
      <c r="N197">
        <v>-1.06113169712882E-3</v>
      </c>
      <c r="O197">
        <v>-1.72811164831723E-2</v>
      </c>
      <c r="P197">
        <v>-2.00044924374208E-2</v>
      </c>
      <c r="Q197">
        <v>-6.3735327885585599E-2</v>
      </c>
      <c r="R197">
        <v>1.27</v>
      </c>
      <c r="S197">
        <v>-1.57</v>
      </c>
      <c r="T197">
        <v>5.23</v>
      </c>
      <c r="U197">
        <v>0.03</v>
      </c>
      <c r="V197">
        <v>0.93154999999999999</v>
      </c>
      <c r="W197">
        <v>-1.7870321560358501E-2</v>
      </c>
      <c r="X197">
        <v>1.2699999999999999E-2</v>
      </c>
      <c r="Y197">
        <v>-1.5699999999999999E-2</v>
      </c>
      <c r="Z197">
        <v>5.2299999999999999E-2</v>
      </c>
      <c r="AA197">
        <v>2.9999999999999997E-4</v>
      </c>
      <c r="AB197">
        <v>-1.7575682656826599E-2</v>
      </c>
      <c r="AC197">
        <v>-5.1026357406432901E-3</v>
      </c>
      <c r="AD197">
        <v>1.2473046916183299E-2</v>
      </c>
      <c r="AE197">
        <v>-1.54194359515024E-2</v>
      </c>
      <c r="AF197">
        <v>5.1365382182393303E-2</v>
      </c>
    </row>
    <row r="198" spans="1:32" x14ac:dyDescent="0.2">
      <c r="A198" s="1">
        <v>44742</v>
      </c>
      <c r="B198">
        <v>5.4965673900591303E-2</v>
      </c>
      <c r="C198">
        <v>1.0494396722903599E-2</v>
      </c>
      <c r="D198">
        <v>3.4066019604346597E-2</v>
      </c>
      <c r="E198">
        <v>5.6994361424627998E-3</v>
      </c>
      <c r="F198">
        <v>1.1973697210897799E-2</v>
      </c>
      <c r="G198">
        <v>3.1267915991057299E-2</v>
      </c>
      <c r="H198">
        <v>4.2029179286502804E-3</v>
      </c>
      <c r="I198">
        <v>-4.9403464744549201E-2</v>
      </c>
      <c r="J198">
        <v>1.9897063689681201E-2</v>
      </c>
      <c r="K198">
        <v>-3.7619409338940802E-4</v>
      </c>
      <c r="L198">
        <v>-4.8846504052952096E-3</v>
      </c>
      <c r="M198">
        <v>-4.9457752695823101E-2</v>
      </c>
      <c r="N198">
        <v>-2.5390898345424299E-2</v>
      </c>
      <c r="O198">
        <v>-3.9214954258412302E-2</v>
      </c>
      <c r="P198">
        <v>-2.6431867824052199E-2</v>
      </c>
      <c r="Q198">
        <v>-8.0949166152946603E-2</v>
      </c>
      <c r="R198">
        <v>-10.32</v>
      </c>
      <c r="S198">
        <v>-1.05</v>
      </c>
      <c r="T198">
        <v>-2.46</v>
      </c>
      <c r="U198">
        <v>0.06</v>
      </c>
      <c r="V198">
        <v>0.95384999999999998</v>
      </c>
      <c r="W198">
        <v>2.39385969620525E-2</v>
      </c>
      <c r="X198">
        <v>-0.1032</v>
      </c>
      <c r="Y198">
        <v>-1.0500000000000001E-2</v>
      </c>
      <c r="Z198">
        <v>-2.46E-2</v>
      </c>
      <c r="AA198">
        <v>5.9999999999999995E-4</v>
      </c>
      <c r="AB198">
        <v>2.45529601202297E-2</v>
      </c>
      <c r="AC198">
        <v>-8.1117503086254095E-2</v>
      </c>
      <c r="AD198">
        <v>-0.105670463206484</v>
      </c>
      <c r="AE198">
        <v>-1.0751355268101601E-2</v>
      </c>
      <c r="AF198">
        <v>-2.51888894852665E-2</v>
      </c>
    </row>
    <row r="199" spans="1:32" x14ac:dyDescent="0.2">
      <c r="A199" s="1">
        <v>44773</v>
      </c>
      <c r="B199">
        <v>5.0026477461657497E-2</v>
      </c>
      <c r="C199">
        <v>1.1722260098826799E-2</v>
      </c>
      <c r="D199">
        <v>2.8774671098604301E-3</v>
      </c>
      <c r="E199">
        <v>-1.82207344949235E-2</v>
      </c>
      <c r="F199">
        <v>1.5870773183307801E-2</v>
      </c>
      <c r="G199">
        <v>1.6794224129070098E-2</v>
      </c>
      <c r="H199">
        <v>-8.0287181014669997E-4</v>
      </c>
      <c r="I199">
        <v>-6.0180713544495001E-2</v>
      </c>
      <c r="J199">
        <v>1.54577519675439E-2</v>
      </c>
      <c r="K199">
        <v>-2.7864549604554999E-2</v>
      </c>
      <c r="L199">
        <v>-3.9034680732218101E-2</v>
      </c>
      <c r="M199">
        <v>-6.4643488131626306E-2</v>
      </c>
      <c r="N199">
        <v>-4.5354518670863E-2</v>
      </c>
      <c r="O199">
        <v>-7.1144366607652706E-2</v>
      </c>
      <c r="P199">
        <v>-6.41306297993679E-2</v>
      </c>
      <c r="Q199">
        <v>-0.101987164450117</v>
      </c>
      <c r="R199">
        <v>5.26</v>
      </c>
      <c r="S199">
        <v>0.62</v>
      </c>
      <c r="T199">
        <v>-6.01</v>
      </c>
      <c r="U199">
        <v>0.08</v>
      </c>
      <c r="V199">
        <v>0.97850000000000004</v>
      </c>
      <c r="W199">
        <v>2.5842637731299498E-2</v>
      </c>
      <c r="X199">
        <v>5.2600000000000001E-2</v>
      </c>
      <c r="Y199">
        <v>6.1999999999999998E-3</v>
      </c>
      <c r="Z199">
        <v>-6.0100000000000001E-2</v>
      </c>
      <c r="AA199">
        <v>8.0000000000000004E-4</v>
      </c>
      <c r="AB199">
        <v>2.6663311841484499E-2</v>
      </c>
      <c r="AC199">
        <v>8.0622634586150696E-2</v>
      </c>
      <c r="AD199">
        <v>5.3959322744666201E-2</v>
      </c>
      <c r="AE199">
        <v>6.3602243539340603E-3</v>
      </c>
      <c r="AF199">
        <v>-6.1653142527651097E-2</v>
      </c>
    </row>
    <row r="200" spans="1:32" x14ac:dyDescent="0.2">
      <c r="A200" s="1">
        <v>44804</v>
      </c>
      <c r="B200">
        <v>7.3668109813549904E-2</v>
      </c>
      <c r="C200">
        <v>3.7156535690979001E-3</v>
      </c>
      <c r="D200">
        <v>-1.9693220820684001E-2</v>
      </c>
      <c r="E200">
        <v>-1.19747305932107E-2</v>
      </c>
      <c r="F200">
        <v>6.2347441030729901E-2</v>
      </c>
      <c r="G200">
        <v>-1.3066120171439599E-2</v>
      </c>
      <c r="H200">
        <v>-6.75732431722691E-3</v>
      </c>
      <c r="I200">
        <v>-5.3428274110622599E-2</v>
      </c>
      <c r="J200">
        <v>4.35917358235101E-2</v>
      </c>
      <c r="K200">
        <v>-3.5834866577673298E-2</v>
      </c>
      <c r="L200">
        <v>-5.2233686423022299E-2</v>
      </c>
      <c r="M200">
        <v>-7.1024666024637306E-2</v>
      </c>
      <c r="N200">
        <v>-1.7165108927545401E-3</v>
      </c>
      <c r="O200">
        <v>-8.2655390338440604E-2</v>
      </c>
      <c r="P200">
        <v>-9.5556446610350398E-2</v>
      </c>
      <c r="Q200">
        <v>-0.105047766986611</v>
      </c>
      <c r="R200">
        <v>-6.68</v>
      </c>
      <c r="S200">
        <v>-0.72</v>
      </c>
      <c r="T200">
        <v>5.41</v>
      </c>
      <c r="U200">
        <v>0.19</v>
      </c>
      <c r="V200">
        <v>0.99409999999999998</v>
      </c>
      <c r="W200">
        <v>1.59427695452223E-2</v>
      </c>
      <c r="X200">
        <v>-6.6799999999999998E-2</v>
      </c>
      <c r="Y200">
        <v>-7.1999999999999998E-3</v>
      </c>
      <c r="Z200">
        <v>5.4100000000000002E-2</v>
      </c>
      <c r="AA200">
        <v>1.9E-3</v>
      </c>
      <c r="AB200">
        <v>1.7873060807358301E-2</v>
      </c>
      <c r="AC200">
        <v>-4.9991916198262598E-2</v>
      </c>
      <c r="AD200">
        <v>-6.78649770056209E-2</v>
      </c>
      <c r="AE200">
        <v>-7.3147879407256004E-3</v>
      </c>
      <c r="AF200">
        <v>5.4962503832396502E-2</v>
      </c>
    </row>
    <row r="201" spans="1:32" x14ac:dyDescent="0.2">
      <c r="A201" s="1">
        <v>44834</v>
      </c>
      <c r="B201">
        <v>1.94720489472377E-2</v>
      </c>
      <c r="C201">
        <v>-3.9325890787451703E-2</v>
      </c>
      <c r="D201">
        <v>-3.9629421436874999E-2</v>
      </c>
      <c r="E201">
        <v>-7.2875563526210501E-3</v>
      </c>
      <c r="F201">
        <v>3.5981442370619697E-2</v>
      </c>
      <c r="G201">
        <v>-5.2630168330155699E-2</v>
      </c>
      <c r="H201">
        <v>-1.6857273119589199E-2</v>
      </c>
      <c r="I201">
        <v>-3.9009967969654599E-2</v>
      </c>
      <c r="J201">
        <v>-3.11126213647335E-3</v>
      </c>
      <c r="K201">
        <v>-7.4514679678332599E-2</v>
      </c>
      <c r="L201">
        <v>-6.3749325907802398E-2</v>
      </c>
      <c r="M201">
        <v>-7.6621513255455895E-2</v>
      </c>
      <c r="N201">
        <v>-5.4571113687344401E-2</v>
      </c>
      <c r="O201">
        <v>-0.119175286977626</v>
      </c>
      <c r="P201">
        <v>-0.12552844261511201</v>
      </c>
      <c r="Q201">
        <v>-0.10377907458916499</v>
      </c>
      <c r="R201">
        <v>-9.84</v>
      </c>
      <c r="S201">
        <v>-3.71</v>
      </c>
      <c r="T201">
        <v>1.25</v>
      </c>
      <c r="U201">
        <v>0.19</v>
      </c>
      <c r="V201">
        <v>1.0203</v>
      </c>
      <c r="W201">
        <v>2.63554974348656E-2</v>
      </c>
      <c r="X201">
        <v>-9.8400000000000001E-2</v>
      </c>
      <c r="Y201">
        <v>-3.7100000000000001E-2</v>
      </c>
      <c r="Z201">
        <v>1.2500000000000001E-2</v>
      </c>
      <c r="AA201">
        <v>1.9E-3</v>
      </c>
      <c r="AB201">
        <v>2.83055728799919E-2</v>
      </c>
      <c r="AC201">
        <v>-7.2687808067598905E-2</v>
      </c>
      <c r="AD201">
        <v>-0.100993380947591</v>
      </c>
      <c r="AE201">
        <v>-3.8077788954833498E-2</v>
      </c>
      <c r="AF201">
        <v>1.28294437179358E-2</v>
      </c>
    </row>
    <row r="202" spans="1:32" x14ac:dyDescent="0.2">
      <c r="A202" s="1">
        <v>44865</v>
      </c>
      <c r="B202">
        <v>-3.0716607803112798E-2</v>
      </c>
      <c r="C202">
        <v>-6.3636301509813101E-2</v>
      </c>
      <c r="D202">
        <v>-2.7647842726441899E-2</v>
      </c>
      <c r="E202">
        <v>-1.62684459362155E-2</v>
      </c>
      <c r="F202">
        <v>-3.1496072051058803E-2</v>
      </c>
      <c r="G202">
        <v>-7.5312040617677906E-2</v>
      </c>
      <c r="H202">
        <v>-5.0693237232459797E-2</v>
      </c>
      <c r="I202">
        <v>-4.4162556557431697E-2</v>
      </c>
      <c r="J202">
        <v>-7.2934825068521697E-2</v>
      </c>
      <c r="K202">
        <v>-0.1091600618134</v>
      </c>
      <c r="L202">
        <v>-9.6434885668873399E-2</v>
      </c>
      <c r="M202">
        <v>-7.8425774205425194E-2</v>
      </c>
      <c r="N202">
        <v>-0.110287560481183</v>
      </c>
      <c r="O202">
        <v>-0.14727592018281399</v>
      </c>
      <c r="P202">
        <v>-0.15526190182598201</v>
      </c>
      <c r="Q202">
        <v>-0.101474846250153</v>
      </c>
      <c r="R202">
        <v>6.66</v>
      </c>
      <c r="S202">
        <v>-0.95</v>
      </c>
      <c r="T202">
        <v>2.44</v>
      </c>
      <c r="U202">
        <v>0.23</v>
      </c>
      <c r="V202">
        <v>1.0116000000000001</v>
      </c>
      <c r="W202">
        <v>-8.5269038518082096E-3</v>
      </c>
      <c r="X202">
        <v>6.6600000000000006E-2</v>
      </c>
      <c r="Y202">
        <v>-9.4999999999999998E-3</v>
      </c>
      <c r="Z202">
        <v>2.4400000000000002E-2</v>
      </c>
      <c r="AA202">
        <v>2.3E-3</v>
      </c>
      <c r="AB202">
        <v>-6.2465157306673697E-3</v>
      </c>
      <c r="AC202">
        <v>5.9785592472802102E-2</v>
      </c>
      <c r="AD202">
        <v>6.6032108203469497E-2</v>
      </c>
      <c r="AE202">
        <v>-9.4189944134078201E-3</v>
      </c>
      <c r="AF202">
        <v>2.41919435460159E-2</v>
      </c>
    </row>
    <row r="203" spans="1:32" x14ac:dyDescent="0.2">
      <c r="A203" s="1">
        <v>44895</v>
      </c>
      <c r="B203">
        <v>-6.9789727633265297E-2</v>
      </c>
      <c r="C203">
        <v>-8.7101765496212694E-2</v>
      </c>
      <c r="D203">
        <v>-1.9650502920870502E-2</v>
      </c>
      <c r="E203">
        <v>-2.4302219567935601E-2</v>
      </c>
      <c r="F203">
        <v>-9.1972377561610197E-2</v>
      </c>
      <c r="G203">
        <v>-9.0075088438152304E-2</v>
      </c>
      <c r="H203">
        <v>-7.9449829614679501E-2</v>
      </c>
      <c r="I203">
        <v>-4.5091043370333601E-2</v>
      </c>
      <c r="J203">
        <v>-0.14237215300446401</v>
      </c>
      <c r="K203">
        <v>-0.13640816900675301</v>
      </c>
      <c r="L203">
        <v>-0.113282090705632</v>
      </c>
      <c r="M203">
        <v>-8.7043605614146993E-2</v>
      </c>
      <c r="N203">
        <v>-0.165045256615168</v>
      </c>
      <c r="O203">
        <v>-0.14154353306283099</v>
      </c>
      <c r="P203">
        <v>-0.15728299305691301</v>
      </c>
      <c r="Q203">
        <v>-9.4824663385555799E-2</v>
      </c>
      <c r="R203">
        <v>12.64</v>
      </c>
      <c r="S203">
        <v>-1.8</v>
      </c>
      <c r="T203">
        <v>-1.1499999999999999</v>
      </c>
      <c r="U203">
        <v>0.28999999999999998</v>
      </c>
      <c r="V203">
        <v>0.96089999999999998</v>
      </c>
      <c r="W203">
        <v>-5.01186239620404E-2</v>
      </c>
      <c r="X203">
        <v>0.12640000000000001</v>
      </c>
      <c r="Y203">
        <v>-1.7999999999999999E-2</v>
      </c>
      <c r="Z203">
        <v>-1.15E-2</v>
      </c>
      <c r="AA203">
        <v>2.8999999999999998E-3</v>
      </c>
      <c r="AB203">
        <v>-4.7363967971530398E-2</v>
      </c>
      <c r="AC203">
        <v>7.27010379596678E-2</v>
      </c>
      <c r="AD203">
        <v>0.120065005931198</v>
      </c>
      <c r="AE203">
        <v>-1.7097864768683298E-2</v>
      </c>
      <c r="AF203">
        <v>-1.0923635824436499E-2</v>
      </c>
    </row>
    <row r="204" spans="1:32" x14ac:dyDescent="0.2">
      <c r="A204" s="1">
        <v>44926</v>
      </c>
      <c r="B204">
        <v>-2.2821227440180399E-2</v>
      </c>
      <c r="C204">
        <v>-8.6962255391114393E-2</v>
      </c>
      <c r="D204">
        <v>-1.64388797936263E-2</v>
      </c>
      <c r="E204">
        <v>-1.62513219295558E-2</v>
      </c>
      <c r="F204">
        <v>-7.4508758964651894E-2</v>
      </c>
      <c r="G204">
        <v>-8.1865930789111405E-2</v>
      </c>
      <c r="H204">
        <v>-8.8943520584042299E-2</v>
      </c>
      <c r="I204">
        <v>-3.7615538882400497E-2</v>
      </c>
      <c r="J204">
        <v>-0.102831522578591</v>
      </c>
      <c r="K204">
        <v>-0.12682772084892699</v>
      </c>
      <c r="L204">
        <v>-0.12211365440642</v>
      </c>
      <c r="M204">
        <v>-7.7351290096931397E-2</v>
      </c>
      <c r="N204">
        <v>-9.7293974099005101E-2</v>
      </c>
      <c r="O204">
        <v>-0.13797774332333701</v>
      </c>
      <c r="P204">
        <v>-0.15407074571138901</v>
      </c>
      <c r="Q204">
        <v>-9.5109670843355504E-2</v>
      </c>
      <c r="R204">
        <v>-1.0900000000000001</v>
      </c>
      <c r="S204">
        <v>1.45</v>
      </c>
      <c r="T204">
        <v>2.58</v>
      </c>
      <c r="U204">
        <v>0.33</v>
      </c>
      <c r="V204">
        <v>0.93425000000000002</v>
      </c>
      <c r="W204">
        <v>-2.7734415651992899E-2</v>
      </c>
      <c r="X204">
        <v>-1.09E-2</v>
      </c>
      <c r="Y204">
        <v>1.4500000000000001E-2</v>
      </c>
      <c r="Z204">
        <v>2.58E-2</v>
      </c>
      <c r="AA204">
        <v>3.3E-3</v>
      </c>
      <c r="AB204">
        <v>-2.4525939223644301E-2</v>
      </c>
      <c r="AC204">
        <v>-3.5123634093037599E-2</v>
      </c>
      <c r="AD204">
        <v>-1.05976948693933E-2</v>
      </c>
      <c r="AE204">
        <v>1.4097850973046101E-2</v>
      </c>
      <c r="AF204">
        <v>2.5084452076178598E-2</v>
      </c>
    </row>
    <row r="205" spans="1:32" x14ac:dyDescent="0.2">
      <c r="A205" s="1">
        <v>44957</v>
      </c>
      <c r="B205">
        <v>1.68626317872857E-3</v>
      </c>
      <c r="C205">
        <v>-7.4451357331110801E-2</v>
      </c>
      <c r="D205">
        <v>-1.81582476246375E-2</v>
      </c>
      <c r="E205">
        <v>5.5027997212555397E-3</v>
      </c>
      <c r="F205">
        <v>-5.3167180161974401E-2</v>
      </c>
      <c r="G205">
        <v>-7.7951542741048402E-2</v>
      </c>
      <c r="H205">
        <v>-7.6407416254579905E-2</v>
      </c>
      <c r="I205">
        <v>-2.9784584831469601E-2</v>
      </c>
      <c r="J205">
        <v>-6.1009064455997998E-2</v>
      </c>
      <c r="K205">
        <v>-0.11432706399439101</v>
      </c>
      <c r="L205">
        <v>-0.113256464143471</v>
      </c>
      <c r="M205">
        <v>-7.0148663266808298E-2</v>
      </c>
      <c r="N205">
        <v>-2.9999701532605699E-2</v>
      </c>
      <c r="O205">
        <v>-0.11440331725950501</v>
      </c>
      <c r="P205">
        <v>-0.12125957534067699</v>
      </c>
      <c r="Q205">
        <v>-8.2816944642142995E-2</v>
      </c>
      <c r="R205">
        <v>8.1300000000000008</v>
      </c>
      <c r="S205">
        <v>-1.57</v>
      </c>
      <c r="T205">
        <v>1.1399999999999999</v>
      </c>
      <c r="U205">
        <v>0.35</v>
      </c>
      <c r="V205">
        <v>0.92054999999999998</v>
      </c>
      <c r="W205">
        <v>-1.46641691196148E-2</v>
      </c>
      <c r="X205">
        <v>8.1299999999999997E-2</v>
      </c>
      <c r="Y205">
        <v>-1.5699999999999999E-2</v>
      </c>
      <c r="Z205">
        <v>1.14E-2</v>
      </c>
      <c r="AA205">
        <v>3.5000000000000001E-3</v>
      </c>
      <c r="AB205">
        <v>-1.12154937115334E-2</v>
      </c>
      <c r="AC205">
        <v>6.8892309339041904E-2</v>
      </c>
      <c r="AD205">
        <v>8.0107803050575299E-2</v>
      </c>
      <c r="AE205">
        <v>-1.5469772544822E-2</v>
      </c>
      <c r="AF205">
        <v>1.12328284720364E-2</v>
      </c>
    </row>
    <row r="206" spans="1:32" x14ac:dyDescent="0.2">
      <c r="A206" s="1">
        <v>44985</v>
      </c>
      <c r="B206">
        <v>-4.5284178191298999E-2</v>
      </c>
      <c r="C206">
        <v>-9.7732309960922498E-2</v>
      </c>
      <c r="D206">
        <v>-3.83697583774966E-2</v>
      </c>
      <c r="E206">
        <v>7.8308897906974196E-3</v>
      </c>
      <c r="F206">
        <v>-7.0477827184847297E-2</v>
      </c>
      <c r="G206">
        <v>-8.4231105907634704E-2</v>
      </c>
      <c r="H206">
        <v>-4.84622449560385E-2</v>
      </c>
      <c r="I206">
        <v>-2.0327739628481299E-2</v>
      </c>
      <c r="J206">
        <v>-6.9907479374358095E-2</v>
      </c>
      <c r="K206">
        <v>-0.12051219628816399</v>
      </c>
      <c r="L206">
        <v>-0.102955474967681</v>
      </c>
      <c r="M206">
        <v>-5.0072213800748701E-2</v>
      </c>
      <c r="N206">
        <v>-2.4450885153956398E-2</v>
      </c>
      <c r="O206">
        <v>-0.105188869957148</v>
      </c>
      <c r="P206">
        <v>-8.1598491724183403E-2</v>
      </c>
      <c r="Q206">
        <v>-5.80047040095137E-2</v>
      </c>
      <c r="R206">
        <v>-1.37</v>
      </c>
      <c r="S206">
        <v>0.15</v>
      </c>
      <c r="T206">
        <v>3.36</v>
      </c>
      <c r="U206">
        <v>0.34</v>
      </c>
      <c r="V206">
        <v>0.94535000000000002</v>
      </c>
      <c r="W206">
        <v>2.6940416055619001E-2</v>
      </c>
      <c r="X206">
        <v>-1.37E-2</v>
      </c>
      <c r="Y206">
        <v>1.5E-3</v>
      </c>
      <c r="Z206">
        <v>3.3599999999999998E-2</v>
      </c>
      <c r="AA206">
        <v>3.3999999999999998E-3</v>
      </c>
      <c r="AB206">
        <v>3.04320134702083E-2</v>
      </c>
      <c r="AC206">
        <v>1.6362929770246101E-2</v>
      </c>
      <c r="AD206">
        <v>-1.4069083699962201E-2</v>
      </c>
      <c r="AE206">
        <v>1.54041062408343E-3</v>
      </c>
      <c r="AF206">
        <v>3.4505197979468799E-2</v>
      </c>
    </row>
    <row r="207" spans="1:32" x14ac:dyDescent="0.2">
      <c r="A207" s="1">
        <v>45016</v>
      </c>
      <c r="B207">
        <v>-8.6736537879132103E-2</v>
      </c>
      <c r="C207">
        <v>-7.8837930727057304E-2</v>
      </c>
      <c r="D207">
        <v>-4.2645849600945598E-2</v>
      </c>
      <c r="E207">
        <v>2.1227620957775101E-2</v>
      </c>
      <c r="F207">
        <v>-0.104023521728726</v>
      </c>
      <c r="G207">
        <v>-8.0460802003899795E-2</v>
      </c>
      <c r="H207">
        <v>-3.5043838766478298E-2</v>
      </c>
      <c r="I207">
        <v>9.3366543603077105E-3</v>
      </c>
      <c r="J207">
        <v>-7.3131740394474204E-2</v>
      </c>
      <c r="K207">
        <v>-9.4492506948578303E-2</v>
      </c>
      <c r="L207">
        <v>-7.8087548135842094E-2</v>
      </c>
      <c r="M207">
        <v>-2.6706646482440002E-2</v>
      </c>
      <c r="N207">
        <v>-6.97706990256656E-2</v>
      </c>
      <c r="O207">
        <v>-7.2008570530458796E-2</v>
      </c>
      <c r="P207">
        <v>-5.3455169020716599E-2</v>
      </c>
      <c r="Q207">
        <v>-2.40050220366823E-2</v>
      </c>
      <c r="R207">
        <v>2.04</v>
      </c>
      <c r="S207">
        <v>-3.61</v>
      </c>
      <c r="T207">
        <v>-6.14</v>
      </c>
      <c r="U207">
        <v>0.36</v>
      </c>
      <c r="V207">
        <v>0.92244999999999999</v>
      </c>
      <c r="W207">
        <v>-2.4223832443010501E-2</v>
      </c>
      <c r="X207">
        <v>2.0400000000000001E-2</v>
      </c>
      <c r="Y207">
        <v>-3.61E-2</v>
      </c>
      <c r="Z207">
        <v>-6.1400000000000003E-2</v>
      </c>
      <c r="AA207">
        <v>3.5999999999999999E-3</v>
      </c>
      <c r="AB207">
        <v>-2.0711038239805399E-2</v>
      </c>
      <c r="AC207">
        <v>-8.0520442164277995E-4</v>
      </c>
      <c r="AD207">
        <v>1.9905833818162601E-2</v>
      </c>
      <c r="AE207">
        <v>-3.5225519648807303E-2</v>
      </c>
      <c r="AF207">
        <v>-5.9912656687999201E-2</v>
      </c>
    </row>
    <row r="208" spans="1:32" x14ac:dyDescent="0.2">
      <c r="A208" s="1">
        <v>45046</v>
      </c>
      <c r="B208">
        <v>-6.7133316473984406E-2</v>
      </c>
      <c r="C208">
        <v>-4.7670741725381799E-2</v>
      </c>
      <c r="D208">
        <v>-3.0620454537076999E-2</v>
      </c>
      <c r="E208">
        <v>4.7781331714430997E-2</v>
      </c>
      <c r="F208">
        <v>-7.7438079488657205E-2</v>
      </c>
      <c r="G208">
        <v>-6.0745502236253801E-2</v>
      </c>
      <c r="H208">
        <v>-2.3060463639922299E-2</v>
      </c>
      <c r="I208">
        <v>3.6726119396086401E-2</v>
      </c>
      <c r="J208">
        <v>-2.7258817446201102E-2</v>
      </c>
      <c r="K208">
        <v>-3.80555274651459E-2</v>
      </c>
      <c r="L208">
        <v>-4.17165437603478E-2</v>
      </c>
      <c r="M208">
        <v>2.4070121890547001E-2</v>
      </c>
      <c r="N208">
        <v>-4.0806693214705397E-2</v>
      </c>
      <c r="O208">
        <v>-4.0844312185980896E-3</v>
      </c>
      <c r="P208">
        <v>-1.68751573606912E-3</v>
      </c>
      <c r="Q208">
        <v>2.9112055057749699E-2</v>
      </c>
      <c r="R208">
        <v>3.5</v>
      </c>
      <c r="S208">
        <v>-1.02</v>
      </c>
      <c r="T208">
        <v>1.1399999999999999</v>
      </c>
      <c r="U208">
        <v>0.35</v>
      </c>
      <c r="V208">
        <v>0.90725</v>
      </c>
      <c r="W208">
        <v>-1.6477857878475801E-2</v>
      </c>
      <c r="X208">
        <v>3.5000000000000003E-2</v>
      </c>
      <c r="Y208">
        <v>-1.0200000000000001E-2</v>
      </c>
      <c r="Z208">
        <v>1.14E-2</v>
      </c>
      <c r="AA208">
        <v>3.5000000000000001E-3</v>
      </c>
      <c r="AB208">
        <v>-1.30355303810504E-2</v>
      </c>
      <c r="AC208">
        <v>2.13877445932029E-2</v>
      </c>
      <c r="AD208">
        <v>3.44232749742533E-2</v>
      </c>
      <c r="AE208">
        <v>-1.00319258496395E-2</v>
      </c>
      <c r="AF208">
        <v>1.12121524201854E-2</v>
      </c>
    </row>
    <row r="209" spans="1:32" x14ac:dyDescent="0.2">
      <c r="A209" s="1">
        <v>45077</v>
      </c>
      <c r="B209">
        <v>-3.6340587329574202E-2</v>
      </c>
      <c r="C209">
        <v>-2.3455906314489301E-2</v>
      </c>
      <c r="D209">
        <v>-2.5543809218216699E-2</v>
      </c>
      <c r="E209">
        <v>6.6221951066305795E-2</v>
      </c>
      <c r="F209">
        <v>-5.2534628599302899E-2</v>
      </c>
      <c r="G209">
        <v>-3.3313381824986901E-2</v>
      </c>
      <c r="H209">
        <v>-1.27167351933125E-2</v>
      </c>
      <c r="I209">
        <v>7.1189801355918E-2</v>
      </c>
      <c r="J209">
        <v>3.9457078596175997E-2</v>
      </c>
      <c r="K209">
        <v>3.97158982083511E-2</v>
      </c>
      <c r="L209">
        <v>7.2632054718462999E-3</v>
      </c>
      <c r="M209">
        <v>8.6468099827837097E-2</v>
      </c>
      <c r="N209">
        <v>2.0130908862575898E-3</v>
      </c>
      <c r="O209">
        <v>4.3462312979034197E-2</v>
      </c>
      <c r="P209">
        <v>3.7636434199884501E-2</v>
      </c>
      <c r="Q209">
        <v>8.2978388629946498E-2</v>
      </c>
      <c r="R209">
        <v>-5.7</v>
      </c>
      <c r="S209">
        <v>1.18</v>
      </c>
      <c r="T209">
        <v>-1.23</v>
      </c>
      <c r="U209">
        <v>0.36</v>
      </c>
      <c r="V209">
        <v>0.93545</v>
      </c>
      <c r="W209">
        <v>3.1082942959493001E-2</v>
      </c>
      <c r="X209">
        <v>-5.7000000000000002E-2</v>
      </c>
      <c r="Y209">
        <v>1.18E-2</v>
      </c>
      <c r="Z209">
        <v>-1.23E-2</v>
      </c>
      <c r="AA209">
        <v>3.5999999999999999E-3</v>
      </c>
      <c r="AB209">
        <v>3.47948415541472E-2</v>
      </c>
      <c r="AC209">
        <v>-2.3976886194543998E-2</v>
      </c>
      <c r="AD209">
        <v>-5.8771727748691202E-2</v>
      </c>
      <c r="AE209">
        <v>1.2166778726922E-2</v>
      </c>
      <c r="AF209">
        <v>-1.2682320198401801E-2</v>
      </c>
    </row>
    <row r="210" spans="1:32" x14ac:dyDescent="0.2">
      <c r="A210" s="1">
        <v>45107</v>
      </c>
      <c r="B210">
        <v>-6.7154357256442698E-2</v>
      </c>
      <c r="C210">
        <v>-6.1669324392552599E-2</v>
      </c>
      <c r="D210">
        <v>-2.61300164307833E-2</v>
      </c>
      <c r="E210">
        <v>5.3055288461553801E-2</v>
      </c>
      <c r="F210">
        <v>-5.5446661372622198E-2</v>
      </c>
      <c r="G210">
        <v>-3.7548609799232399E-2</v>
      </c>
      <c r="H210">
        <v>1.9031237439758E-2</v>
      </c>
      <c r="I210">
        <v>9.7250369454221303E-2</v>
      </c>
      <c r="J210">
        <v>2.0485024994674299E-2</v>
      </c>
      <c r="K210">
        <v>5.01993635443524E-2</v>
      </c>
      <c r="L210">
        <v>4.4525936491863302E-2</v>
      </c>
      <c r="M210">
        <v>0.123801501666185</v>
      </c>
      <c r="N210">
        <v>1.5419754204951E-2</v>
      </c>
      <c r="O210">
        <v>4.7918282109707701E-2</v>
      </c>
      <c r="P210">
        <v>8.5691245843547106E-2</v>
      </c>
      <c r="Q210">
        <v>0.121930755252128</v>
      </c>
      <c r="R210">
        <v>4.2</v>
      </c>
      <c r="S210">
        <v>-2.38</v>
      </c>
      <c r="T210">
        <v>2.41</v>
      </c>
      <c r="U210">
        <v>0.4</v>
      </c>
      <c r="V210">
        <v>0.91644999999999999</v>
      </c>
      <c r="W210">
        <v>-2.03110802287669E-2</v>
      </c>
      <c r="X210">
        <v>4.2000000000000003E-2</v>
      </c>
      <c r="Y210">
        <v>-2.3800000000000002E-2</v>
      </c>
      <c r="Z210">
        <v>2.41E-2</v>
      </c>
      <c r="AA210">
        <v>4.0000000000000001E-3</v>
      </c>
      <c r="AB210">
        <v>-1.6392324549682001E-2</v>
      </c>
      <c r="AC210">
        <v>2.47546100807099E-2</v>
      </c>
      <c r="AD210">
        <v>4.1146934630391901E-2</v>
      </c>
      <c r="AE210">
        <v>-2.3316596290555301E-2</v>
      </c>
      <c r="AF210">
        <v>2.3610502966486702E-2</v>
      </c>
    </row>
    <row r="211" spans="1:32" x14ac:dyDescent="0.2">
      <c r="A211" s="1">
        <v>45138</v>
      </c>
      <c r="B211">
        <v>-0.119906651213798</v>
      </c>
      <c r="C211">
        <v>-7.9123812458091497E-2</v>
      </c>
      <c r="D211">
        <v>-8.9988495546355698E-3</v>
      </c>
      <c r="E211">
        <v>7.8823789804946004E-2</v>
      </c>
      <c r="F211">
        <v>-8.8484451608825607E-2</v>
      </c>
      <c r="G211">
        <v>-4.4384667941887897E-2</v>
      </c>
      <c r="H211">
        <v>8.0471210627267503E-2</v>
      </c>
      <c r="I211">
        <v>0.129979122405081</v>
      </c>
      <c r="J211">
        <v>-3.33023568849126E-2</v>
      </c>
      <c r="K211">
        <v>7.0919315491884002E-2</v>
      </c>
      <c r="L211">
        <v>0.111935053861587</v>
      </c>
      <c r="M211">
        <v>0.171634248595355</v>
      </c>
      <c r="N211">
        <v>-9.3800478493669594E-3</v>
      </c>
      <c r="O211">
        <v>5.2592911382525698E-2</v>
      </c>
      <c r="P211">
        <v>0.13307818520311401</v>
      </c>
      <c r="Q211">
        <v>0.18014987872292501</v>
      </c>
      <c r="R211">
        <v>2.4500000000000002</v>
      </c>
      <c r="S211">
        <v>0.28999999999999998</v>
      </c>
      <c r="T211">
        <v>2.74</v>
      </c>
      <c r="U211">
        <v>0.45</v>
      </c>
      <c r="V211">
        <v>0.90934999999999999</v>
      </c>
      <c r="W211">
        <v>-7.7472857220797203E-3</v>
      </c>
      <c r="X211">
        <v>2.4500000000000001E-2</v>
      </c>
      <c r="Y211">
        <v>2.8999999999999998E-3</v>
      </c>
      <c r="Z211">
        <v>2.7400000000000001E-2</v>
      </c>
      <c r="AA211">
        <v>4.4999999999999997E-3</v>
      </c>
      <c r="AB211">
        <v>-3.2821485078291502E-3</v>
      </c>
      <c r="AC211">
        <v>2.1028042991979801E-2</v>
      </c>
      <c r="AD211">
        <v>2.4310191499809002E-2</v>
      </c>
      <c r="AE211">
        <v>2.8775328714059699E-3</v>
      </c>
      <c r="AF211">
        <v>2.7187724371215E-2</v>
      </c>
    </row>
    <row r="212" spans="1:32" x14ac:dyDescent="0.2">
      <c r="A212" s="1">
        <v>45169</v>
      </c>
      <c r="B212">
        <v>-8.3664752626742903E-2</v>
      </c>
      <c r="C212">
        <v>-5.56097985263274E-2</v>
      </c>
      <c r="D212">
        <v>-5.5442928654278797E-3</v>
      </c>
      <c r="E212">
        <v>7.6296947091057998E-2</v>
      </c>
      <c r="F212">
        <v>-2.8924705940011002E-2</v>
      </c>
      <c r="G212">
        <v>-1.42354035709718E-2</v>
      </c>
      <c r="H212">
        <v>0.12074789901517199</v>
      </c>
      <c r="I212">
        <v>0.146484975250122</v>
      </c>
      <c r="J212">
        <v>-3.5101599476222399E-2</v>
      </c>
      <c r="K212">
        <v>9.9844340429674897E-2</v>
      </c>
      <c r="L212">
        <v>0.15517679613104099</v>
      </c>
      <c r="M212">
        <v>0.18092970825694499</v>
      </c>
      <c r="N212">
        <v>4.5858724239111699E-2</v>
      </c>
      <c r="O212">
        <v>9.6745494546034205E-2</v>
      </c>
      <c r="P212">
        <v>0.179529076568023</v>
      </c>
      <c r="Q212">
        <v>0.22040717772136201</v>
      </c>
      <c r="R212">
        <v>-4.5999999999999996</v>
      </c>
      <c r="S212">
        <v>-0.59</v>
      </c>
      <c r="T212">
        <v>1.66</v>
      </c>
      <c r="U212">
        <v>0.45</v>
      </c>
      <c r="V212">
        <v>0.92225000000000001</v>
      </c>
      <c r="W212">
        <v>1.4185957002254401E-2</v>
      </c>
      <c r="X212">
        <v>-4.5999999999999999E-2</v>
      </c>
      <c r="Y212">
        <v>-5.8999999999999999E-3</v>
      </c>
      <c r="Z212">
        <v>1.66E-2</v>
      </c>
      <c r="AA212">
        <v>4.4999999999999997E-3</v>
      </c>
      <c r="AB212">
        <v>1.8749793808764601E-2</v>
      </c>
      <c r="AC212">
        <v>-2.79027602133393E-2</v>
      </c>
      <c r="AD212">
        <v>-4.6652554022103901E-2</v>
      </c>
      <c r="AE212">
        <v>-5.9836971463132996E-3</v>
      </c>
      <c r="AF212">
        <v>1.68354868862374E-2</v>
      </c>
    </row>
    <row r="213" spans="1:32" x14ac:dyDescent="0.2">
      <c r="A213" s="1">
        <v>45199</v>
      </c>
      <c r="B213">
        <v>-1.70910020364804E-2</v>
      </c>
      <c r="C213">
        <v>-4.5050766784193501E-2</v>
      </c>
      <c r="D213">
        <v>2.4535283448153099E-3</v>
      </c>
      <c r="E213">
        <v>9.0822043502496702E-2</v>
      </c>
      <c r="F213">
        <v>1.75224900532692E-2</v>
      </c>
      <c r="G213">
        <v>2.62973179778993E-2</v>
      </c>
      <c r="H213">
        <v>0.14484564693176799</v>
      </c>
      <c r="I213">
        <v>0.160682028655281</v>
      </c>
      <c r="J213">
        <v>9.2710209260201508E-3</v>
      </c>
      <c r="K213">
        <v>0.14057142009889201</v>
      </c>
      <c r="L213">
        <v>0.19008477156878101</v>
      </c>
      <c r="M213">
        <v>0.20694164590049399</v>
      </c>
      <c r="N213">
        <v>8.84667252822572E-2</v>
      </c>
      <c r="O213">
        <v>0.140115437855796</v>
      </c>
      <c r="P213">
        <v>0.20349316284903701</v>
      </c>
      <c r="Q213">
        <v>0.25071387210839002</v>
      </c>
      <c r="R213">
        <v>-4.97</v>
      </c>
      <c r="S213">
        <v>-1.75</v>
      </c>
      <c r="T213">
        <v>3.54</v>
      </c>
      <c r="U213">
        <v>0.43</v>
      </c>
      <c r="V213">
        <v>0.94589999999999996</v>
      </c>
      <c r="W213">
        <v>2.5643805909460599E-2</v>
      </c>
      <c r="X213">
        <v>-4.9700000000000001E-2</v>
      </c>
      <c r="Y213">
        <v>-1.7500000000000002E-2</v>
      </c>
      <c r="Z213">
        <v>3.5400000000000001E-2</v>
      </c>
      <c r="AA213">
        <v>4.3E-3</v>
      </c>
      <c r="AB213">
        <v>3.0054074274871199E-2</v>
      </c>
      <c r="AC213">
        <v>-2.09204228788289E-2</v>
      </c>
      <c r="AD213">
        <v>-5.0974497153700102E-2</v>
      </c>
      <c r="AE213">
        <v>-1.79487666034156E-2</v>
      </c>
      <c r="AF213">
        <v>3.6307790729194898E-2</v>
      </c>
    </row>
    <row r="214" spans="1:32" x14ac:dyDescent="0.2">
      <c r="A214" s="1">
        <v>45230</v>
      </c>
      <c r="B214">
        <v>-1.6806317048089499E-2</v>
      </c>
      <c r="C214">
        <v>-4.2922285272682298E-2</v>
      </c>
      <c r="D214">
        <v>3.2104256293770901E-2</v>
      </c>
      <c r="E214">
        <v>8.6354130150109606E-2</v>
      </c>
      <c r="F214">
        <v>3.5282430418642498E-3</v>
      </c>
      <c r="G214">
        <v>4.8198297777966997E-2</v>
      </c>
      <c r="H214">
        <v>0.162672337832174</v>
      </c>
      <c r="I214">
        <v>0.15839482963889501</v>
      </c>
      <c r="J214">
        <v>-1.13235979665488E-3</v>
      </c>
      <c r="K214">
        <v>0.15533912172915401</v>
      </c>
      <c r="L214">
        <v>0.21671788599245101</v>
      </c>
      <c r="M214">
        <v>0.207826185675693</v>
      </c>
      <c r="N214">
        <v>8.2274325818545505E-2</v>
      </c>
      <c r="O214">
        <v>0.14873889842891</v>
      </c>
      <c r="P214">
        <v>0.20526276326172099</v>
      </c>
      <c r="Q214">
        <v>0.249055135366377</v>
      </c>
      <c r="R214">
        <v>-4.37</v>
      </c>
      <c r="S214">
        <v>-2.04</v>
      </c>
      <c r="T214">
        <v>0.78</v>
      </c>
      <c r="U214">
        <v>0.47</v>
      </c>
      <c r="V214">
        <v>0.94535000000000002</v>
      </c>
      <c r="W214">
        <v>-5.8145681361654301E-4</v>
      </c>
      <c r="X214">
        <v>-4.3700000000000003E-2</v>
      </c>
      <c r="Y214">
        <v>-2.0400000000000001E-2</v>
      </c>
      <c r="Z214">
        <v>7.7999999999999996E-3</v>
      </c>
      <c r="AA214">
        <v>4.7000000000000002E-3</v>
      </c>
      <c r="AB214">
        <v>4.1158103393594799E-3</v>
      </c>
      <c r="AC214">
        <v>-3.9558779997885499E-2</v>
      </c>
      <c r="AD214">
        <v>-4.3674590337245002E-2</v>
      </c>
      <c r="AE214">
        <v>-2.0388138281002201E-2</v>
      </c>
      <c r="AF214">
        <v>7.7954646368537904E-3</v>
      </c>
    </row>
    <row r="215" spans="1:32" x14ac:dyDescent="0.2">
      <c r="A215" s="1">
        <v>45260</v>
      </c>
      <c r="B215">
        <v>-9.7709044189454503E-2</v>
      </c>
      <c r="C215">
        <v>-5.3545187694310999E-2</v>
      </c>
      <c r="D215">
        <v>4.13987339866961E-2</v>
      </c>
      <c r="E215">
        <v>6.0191840739886301E-2</v>
      </c>
      <c r="F215">
        <v>-9.9363453050518594E-2</v>
      </c>
      <c r="G215">
        <v>4.7788858163387501E-2</v>
      </c>
      <c r="H215">
        <v>0.153016915414555</v>
      </c>
      <c r="I215">
        <v>0.148258871113989</v>
      </c>
      <c r="J215">
        <v>-5.7217881795851397E-2</v>
      </c>
      <c r="K215">
        <v>0.116524228302554</v>
      </c>
      <c r="L215">
        <v>0.221576231398357</v>
      </c>
      <c r="M215">
        <v>0.20148079179623701</v>
      </c>
      <c r="N215">
        <v>-1.2698146466170601E-2</v>
      </c>
      <c r="O215">
        <v>0.140700638223033</v>
      </c>
      <c r="P215">
        <v>0.20193489340122001</v>
      </c>
      <c r="Q215">
        <v>0.22892837267304</v>
      </c>
      <c r="R215">
        <v>9.2100000000000009</v>
      </c>
      <c r="S215">
        <v>0.11</v>
      </c>
      <c r="T215">
        <v>-0.91</v>
      </c>
      <c r="U215">
        <v>0.44</v>
      </c>
      <c r="V215">
        <v>0.91854999999999998</v>
      </c>
      <c r="W215">
        <v>-2.83492886232612E-2</v>
      </c>
      <c r="X215">
        <v>9.2100000000000001E-2</v>
      </c>
      <c r="Y215">
        <v>1.1000000000000001E-3</v>
      </c>
      <c r="Z215">
        <v>-9.1000000000000004E-3</v>
      </c>
      <c r="AA215">
        <v>4.4000000000000003E-3</v>
      </c>
      <c r="AB215">
        <v>-2.4074025493203598E-2</v>
      </c>
      <c r="AC215">
        <v>6.5415005024594103E-2</v>
      </c>
      <c r="AD215">
        <v>8.9489030517797705E-2</v>
      </c>
      <c r="AE215">
        <v>1.0688157825144099E-3</v>
      </c>
      <c r="AF215">
        <v>-8.8420214735283192E-3</v>
      </c>
    </row>
    <row r="216" spans="1:32" x14ac:dyDescent="0.2">
      <c r="A216" s="1">
        <v>45291</v>
      </c>
      <c r="B216">
        <v>-6.9852153361359803E-2</v>
      </c>
      <c r="C216">
        <v>-1.5969278912190299E-2</v>
      </c>
      <c r="D216">
        <v>5.32357269470633E-2</v>
      </c>
      <c r="E216">
        <v>4.7718875386053301E-2</v>
      </c>
      <c r="F216">
        <v>-9.9270252088898198E-2</v>
      </c>
      <c r="G216">
        <v>7.3195510764442195E-2</v>
      </c>
      <c r="H216">
        <v>0.15669414716647301</v>
      </c>
      <c r="I216">
        <v>0.143216144383398</v>
      </c>
      <c r="J216">
        <v>-1.73847859028383E-2</v>
      </c>
      <c r="K216">
        <v>0.13328950788074601</v>
      </c>
      <c r="L216">
        <v>0.22487240224402999</v>
      </c>
      <c r="M216">
        <v>0.206627606040031</v>
      </c>
      <c r="N216">
        <v>2.60140598161974E-2</v>
      </c>
      <c r="O216">
        <v>0.16831239233505599</v>
      </c>
      <c r="P216">
        <v>0.207673611611179</v>
      </c>
      <c r="Q216">
        <v>0.235457732739389</v>
      </c>
      <c r="R216">
        <v>5.0599999999999996</v>
      </c>
      <c r="S216">
        <v>3.57</v>
      </c>
      <c r="T216">
        <v>-0.61</v>
      </c>
      <c r="U216">
        <v>0.43</v>
      </c>
      <c r="V216">
        <v>0.90605000000000002</v>
      </c>
      <c r="W216">
        <v>-1.36084045506505E-2</v>
      </c>
      <c r="X216">
        <v>5.0599999999999999E-2</v>
      </c>
      <c r="Y216">
        <v>3.5700000000000003E-2</v>
      </c>
      <c r="Z216">
        <v>-6.1000000000000004E-3</v>
      </c>
      <c r="AA216">
        <v>4.3E-3</v>
      </c>
      <c r="AB216">
        <v>-9.3669206902182705E-3</v>
      </c>
      <c r="AC216">
        <v>4.0544494039518798E-2</v>
      </c>
      <c r="AD216">
        <v>4.9911414729737001E-2</v>
      </c>
      <c r="AE216">
        <v>3.5214179957541801E-2</v>
      </c>
      <c r="AF216">
        <v>-6.01698873224103E-3</v>
      </c>
    </row>
    <row r="217" spans="1:32" x14ac:dyDescent="0.2">
      <c r="A217" s="1">
        <v>45322</v>
      </c>
      <c r="B217">
        <v>2.6646291701289501E-2</v>
      </c>
      <c r="C217">
        <v>3.4835088212003297E-2</v>
      </c>
      <c r="D217">
        <v>7.2696142971845998E-2</v>
      </c>
      <c r="E217">
        <v>5.2382532398889403E-2</v>
      </c>
      <c r="F217">
        <v>-1.1000166589371099E-2</v>
      </c>
      <c r="G217">
        <v>0.12144442082835701</v>
      </c>
      <c r="H217">
        <v>0.16279507077399999</v>
      </c>
      <c r="I217">
        <v>0.13985756052751899</v>
      </c>
      <c r="J217">
        <v>7.6590658025962294E-2</v>
      </c>
      <c r="K217">
        <v>0.158340928562681</v>
      </c>
      <c r="L217">
        <v>0.218304406282578</v>
      </c>
      <c r="M217">
        <v>0.21763452019430901</v>
      </c>
      <c r="N217">
        <v>0.13587991914370701</v>
      </c>
      <c r="O217">
        <v>0.22685570702951</v>
      </c>
      <c r="P217">
        <v>0.210009755500733</v>
      </c>
      <c r="Q217">
        <v>0.24785273393090401</v>
      </c>
      <c r="R217">
        <v>-1.56</v>
      </c>
      <c r="S217">
        <v>-1.48</v>
      </c>
      <c r="T217">
        <v>-1</v>
      </c>
      <c r="U217">
        <v>0.47</v>
      </c>
      <c r="V217">
        <v>0.9244</v>
      </c>
      <c r="W217">
        <v>2.0252745433474901E-2</v>
      </c>
      <c r="X217">
        <v>-1.5599999999999999E-2</v>
      </c>
      <c r="Y217">
        <v>-1.4800000000000001E-2</v>
      </c>
      <c r="Z217">
        <v>-0.01</v>
      </c>
      <c r="AA217">
        <v>4.7000000000000002E-3</v>
      </c>
      <c r="AB217">
        <v>2.5047933337012201E-2</v>
      </c>
      <c r="AC217">
        <v>9.1319905082500891E-3</v>
      </c>
      <c r="AD217">
        <v>-1.59159428287621E-2</v>
      </c>
      <c r="AE217">
        <v>-1.50997406324154E-2</v>
      </c>
      <c r="AF217">
        <v>-1.0202527454334699E-2</v>
      </c>
    </row>
    <row r="218" spans="1:32" x14ac:dyDescent="0.2">
      <c r="A218" s="1">
        <v>45351</v>
      </c>
      <c r="B218">
        <v>9.4397692530982805E-2</v>
      </c>
      <c r="C218">
        <v>5.50316327233503E-2</v>
      </c>
      <c r="D218">
        <v>7.6637086892443099E-2</v>
      </c>
      <c r="E218">
        <v>6.8471923113491498E-2</v>
      </c>
      <c r="F218">
        <v>7.4492023605604904E-2</v>
      </c>
      <c r="G218">
        <v>0.1304179479467</v>
      </c>
      <c r="H218">
        <v>0.17523177674792501</v>
      </c>
      <c r="I218">
        <v>0.14251954461493699</v>
      </c>
      <c r="J218">
        <v>0.13695418182809299</v>
      </c>
      <c r="K218">
        <v>0.158557399056241</v>
      </c>
      <c r="L218">
        <v>0.17668613930898999</v>
      </c>
      <c r="M218">
        <v>0.21453503138859201</v>
      </c>
      <c r="N218">
        <v>0.223814437766436</v>
      </c>
      <c r="O218">
        <v>0.226378075821315</v>
      </c>
      <c r="P218">
        <v>0.20876587407307801</v>
      </c>
      <c r="Q218">
        <v>0.26022166351130199</v>
      </c>
      <c r="R218">
        <v>1.27</v>
      </c>
      <c r="S218">
        <v>-2.85</v>
      </c>
      <c r="T218">
        <v>-0.76</v>
      </c>
      <c r="U218">
        <v>0.42</v>
      </c>
      <c r="V218">
        <v>0.92549999999999999</v>
      </c>
      <c r="W218">
        <v>1.1899610558199201E-3</v>
      </c>
      <c r="X218">
        <v>1.2699999999999999E-2</v>
      </c>
      <c r="Y218">
        <v>-2.8500000000000001E-2</v>
      </c>
      <c r="Z218">
        <v>-7.6E-3</v>
      </c>
      <c r="AA218">
        <v>4.1999999999999997E-3</v>
      </c>
      <c r="AB218">
        <v>5.3949588922543902E-3</v>
      </c>
      <c r="AC218">
        <v>1.8110071397663199E-2</v>
      </c>
      <c r="AD218">
        <v>1.2715112505408801E-2</v>
      </c>
      <c r="AE218">
        <v>-2.8533913890090901E-2</v>
      </c>
      <c r="AF218">
        <v>-7.6090437040242298E-3</v>
      </c>
    </row>
    <row r="219" spans="1:32" x14ac:dyDescent="0.2">
      <c r="A219" s="1">
        <v>45382</v>
      </c>
      <c r="B219">
        <v>-9.1420865145291508E-3</v>
      </c>
      <c r="C219">
        <v>3.7037558395629798E-2</v>
      </c>
      <c r="D219">
        <v>8.44628891603246E-2</v>
      </c>
      <c r="E219">
        <v>4.5137964003051097E-2</v>
      </c>
      <c r="F219">
        <v>6.1859056535644797E-3</v>
      </c>
      <c r="G219">
        <v>8.4475433832787994E-2</v>
      </c>
      <c r="H219">
        <v>0.14806325409661</v>
      </c>
      <c r="I219">
        <v>0.123579950770902</v>
      </c>
      <c r="J219">
        <v>4.2134504789650799E-2</v>
      </c>
      <c r="K219">
        <v>9.9400662952496097E-2</v>
      </c>
      <c r="L219">
        <v>0.14475350441804999</v>
      </c>
      <c r="M219">
        <v>0.18508521299353101</v>
      </c>
      <c r="N219">
        <v>0.10665015511579699</v>
      </c>
      <c r="O219">
        <v>0.16700223716967599</v>
      </c>
      <c r="P219">
        <v>0.19120445378046599</v>
      </c>
      <c r="Q219">
        <v>0.23577161539907801</v>
      </c>
      <c r="R219">
        <v>3.26</v>
      </c>
      <c r="S219">
        <v>-1.41</v>
      </c>
      <c r="T219">
        <v>3.57</v>
      </c>
      <c r="U219">
        <v>0.43</v>
      </c>
      <c r="V219">
        <v>0.92654999999999998</v>
      </c>
      <c r="W219">
        <v>1.1345218800649099E-3</v>
      </c>
      <c r="X219">
        <v>3.2599999999999997E-2</v>
      </c>
      <c r="Y219">
        <v>-1.41E-2</v>
      </c>
      <c r="Z219">
        <v>3.5700000000000003E-2</v>
      </c>
      <c r="AA219">
        <v>4.3E-3</v>
      </c>
      <c r="AB219">
        <v>5.4394003241491403E-3</v>
      </c>
      <c r="AC219">
        <v>3.8076385737439301E-2</v>
      </c>
      <c r="AD219">
        <v>3.2636985413290201E-2</v>
      </c>
      <c r="AE219">
        <v>-1.41159967585089E-2</v>
      </c>
      <c r="AF219">
        <v>3.5740502431118301E-2</v>
      </c>
    </row>
    <row r="220" spans="1:32" x14ac:dyDescent="0.2">
      <c r="A220" s="1">
        <v>45412</v>
      </c>
      <c r="B220">
        <v>-0.102512104484064</v>
      </c>
      <c r="C220">
        <v>2.4188512770309699E-3</v>
      </c>
      <c r="D220">
        <v>6.0609685805298998E-2</v>
      </c>
      <c r="E220">
        <v>2.2073537059973499E-2</v>
      </c>
      <c r="F220">
        <v>-5.88635387414315E-2</v>
      </c>
      <c r="G220">
        <v>6.2806797601532099E-2</v>
      </c>
      <c r="H220">
        <v>0.106496653866924</v>
      </c>
      <c r="I220">
        <v>0.103745413695254</v>
      </c>
      <c r="J220">
        <v>-1.5333857235996401E-2</v>
      </c>
      <c r="K220">
        <v>4.7375372928805497E-2</v>
      </c>
      <c r="L220">
        <v>0.10334506093543</v>
      </c>
      <c r="M220">
        <v>0.14444701189297801</v>
      </c>
      <c r="N220">
        <v>-1.3515003253502999E-2</v>
      </c>
      <c r="O220">
        <v>0.103848718139409</v>
      </c>
      <c r="P220">
        <v>0.17146888971746199</v>
      </c>
      <c r="Q220">
        <v>0.195392439281733</v>
      </c>
      <c r="R220">
        <v>-2.52</v>
      </c>
      <c r="S220">
        <v>0.64</v>
      </c>
      <c r="T220">
        <v>2.96</v>
      </c>
      <c r="U220">
        <v>0.47</v>
      </c>
      <c r="V220">
        <v>0.93754999999999999</v>
      </c>
      <c r="W220">
        <v>1.1871998273163899E-2</v>
      </c>
      <c r="X220">
        <v>-2.52E-2</v>
      </c>
      <c r="Y220">
        <v>6.4000000000000003E-3</v>
      </c>
      <c r="Z220">
        <v>2.9600000000000001E-2</v>
      </c>
      <c r="AA220">
        <v>4.7000000000000002E-3</v>
      </c>
      <c r="AB220">
        <v>1.6627796665047701E-2</v>
      </c>
      <c r="AC220">
        <v>-8.8713776914360904E-3</v>
      </c>
      <c r="AD220">
        <v>-2.54991743564837E-2</v>
      </c>
      <c r="AE220">
        <v>6.4759807889482497E-3</v>
      </c>
      <c r="AF220">
        <v>2.99514111488857E-2</v>
      </c>
    </row>
    <row r="221" spans="1:32" x14ac:dyDescent="0.2">
      <c r="A221" s="1">
        <v>45443</v>
      </c>
      <c r="B221">
        <v>-0.120476133399357</v>
      </c>
      <c r="C221">
        <v>-2.15050866715908E-2</v>
      </c>
      <c r="D221">
        <v>4.6739323724862898E-2</v>
      </c>
      <c r="E221">
        <v>-4.7254565007956101E-3</v>
      </c>
      <c r="F221">
        <v>-6.53869260787273E-2</v>
      </c>
      <c r="G221">
        <v>6.2932816926417001E-2</v>
      </c>
      <c r="H221">
        <v>8.2719937475164096E-2</v>
      </c>
      <c r="I221">
        <v>9.1041035139400706E-2</v>
      </c>
      <c r="J221">
        <v>-4.1352317662581899E-2</v>
      </c>
      <c r="K221">
        <v>3.3676025194517699E-2</v>
      </c>
      <c r="L221">
        <v>8.2106008220138499E-2</v>
      </c>
      <c r="M221">
        <v>0.104622088335571</v>
      </c>
      <c r="N221">
        <v>-8.00602575432698E-2</v>
      </c>
      <c r="O221">
        <v>6.69843026603507E-2</v>
      </c>
      <c r="P221">
        <v>0.13139642591807499</v>
      </c>
      <c r="Q221">
        <v>0.166993070057015</v>
      </c>
      <c r="R221">
        <v>4.97</v>
      </c>
      <c r="S221">
        <v>2.4500000000000002</v>
      </c>
      <c r="T221">
        <v>0.39</v>
      </c>
      <c r="U221">
        <v>0.44</v>
      </c>
      <c r="V221">
        <v>0.92225000000000001</v>
      </c>
      <c r="W221">
        <v>-1.6319129646418799E-2</v>
      </c>
      <c r="X221">
        <v>4.9700000000000001E-2</v>
      </c>
      <c r="Y221">
        <v>2.4500000000000001E-2</v>
      </c>
      <c r="Z221">
        <v>3.8999999999999998E-3</v>
      </c>
      <c r="AA221">
        <v>4.4000000000000003E-3</v>
      </c>
      <c r="AB221">
        <v>-1.19909338168631E-2</v>
      </c>
      <c r="AC221">
        <v>3.6898005439709898E-2</v>
      </c>
      <c r="AD221">
        <v>4.8888939256572998E-2</v>
      </c>
      <c r="AE221">
        <v>2.4100181323662699E-2</v>
      </c>
      <c r="AF221">
        <v>3.8363553943789701E-3</v>
      </c>
    </row>
    <row r="222" spans="1:32" x14ac:dyDescent="0.2">
      <c r="A222" s="1">
        <v>45473</v>
      </c>
      <c r="B222">
        <v>-0.10265039886475601</v>
      </c>
      <c r="C222">
        <v>-4.99365423020071E-2</v>
      </c>
      <c r="D222">
        <v>1.9124753046769902E-2</v>
      </c>
      <c r="E222">
        <v>3.9121816798858402E-3</v>
      </c>
      <c r="F222">
        <v>-1.6807857686850999E-2</v>
      </c>
      <c r="G222">
        <v>3.61345335657869E-2</v>
      </c>
      <c r="H222">
        <v>5.3420155417534101E-2</v>
      </c>
      <c r="I222">
        <v>8.1875303062152793E-2</v>
      </c>
      <c r="J222">
        <v>1.0721915650039099E-2</v>
      </c>
      <c r="K222">
        <v>4.2821013531354297E-3</v>
      </c>
      <c r="L222">
        <v>4.3395228157361999E-2</v>
      </c>
      <c r="M222">
        <v>9.1278344525080102E-2</v>
      </c>
      <c r="N222">
        <v>-1.9265187922747101E-2</v>
      </c>
      <c r="O222">
        <v>3.2664820389455201E-2</v>
      </c>
      <c r="P222">
        <v>9.2395321165135394E-2</v>
      </c>
      <c r="Q222">
        <v>0.15015384472573701</v>
      </c>
      <c r="R222">
        <v>-3.28</v>
      </c>
      <c r="S222">
        <v>-1.1100000000000001</v>
      </c>
      <c r="T222">
        <v>-2.33</v>
      </c>
      <c r="U222">
        <v>0.41</v>
      </c>
      <c r="V222">
        <v>0.93325000000000002</v>
      </c>
      <c r="W222">
        <v>1.19273515857956E-2</v>
      </c>
      <c r="X222">
        <v>-3.2800000000000003E-2</v>
      </c>
      <c r="Y222">
        <v>-1.11E-2</v>
      </c>
      <c r="Z222">
        <v>-2.3300000000000001E-2</v>
      </c>
      <c r="AA222">
        <v>4.1000000000000003E-3</v>
      </c>
      <c r="AB222">
        <v>1.6076253727297402E-2</v>
      </c>
      <c r="AC222">
        <v>-1.7114963404716601E-2</v>
      </c>
      <c r="AD222">
        <v>-3.3191217132013999E-2</v>
      </c>
      <c r="AE222">
        <v>-1.12323936026023E-2</v>
      </c>
      <c r="AF222">
        <v>-2.3577907291948998E-2</v>
      </c>
    </row>
    <row r="223" spans="1:32" x14ac:dyDescent="0.2">
      <c r="A223" s="1">
        <v>45504</v>
      </c>
      <c r="B223">
        <v>-7.1409309646664906E-2</v>
      </c>
      <c r="C223">
        <v>-7.9520496682373196E-2</v>
      </c>
      <c r="D223">
        <v>-4.6626513507062196E-3</v>
      </c>
      <c r="E223">
        <v>-4.87153337451384E-3</v>
      </c>
      <c r="F223">
        <v>-1.54462674207638E-2</v>
      </c>
      <c r="G223">
        <v>-9.9652585487595702E-3</v>
      </c>
      <c r="H223">
        <v>3.1910970983716001E-2</v>
      </c>
      <c r="I223">
        <v>5.8680306207287598E-2</v>
      </c>
      <c r="J223">
        <v>-1.78079288656115E-2</v>
      </c>
      <c r="K223">
        <v>-3.9263952102038403E-2</v>
      </c>
      <c r="L223">
        <v>6.0516252612245096E-3</v>
      </c>
      <c r="M223">
        <v>6.8521755790563493E-2</v>
      </c>
      <c r="N223">
        <v>-3.4457321979115503E-2</v>
      </c>
      <c r="O223">
        <v>-2.37062649456425E-2</v>
      </c>
      <c r="P223">
        <v>7.0820162974923204E-2</v>
      </c>
      <c r="Q223">
        <v>0.13136539183971899</v>
      </c>
      <c r="R223">
        <v>1.5</v>
      </c>
      <c r="S223">
        <v>1.9</v>
      </c>
      <c r="T223">
        <v>1.33</v>
      </c>
      <c r="U223">
        <v>0.45</v>
      </c>
      <c r="V223">
        <v>0.92374999999999996</v>
      </c>
      <c r="W223">
        <v>-1.01794803107421E-2</v>
      </c>
      <c r="X223">
        <v>1.4999999999999999E-2</v>
      </c>
      <c r="Y223">
        <v>1.9E-2</v>
      </c>
      <c r="Z223">
        <v>1.3299999999999999E-2</v>
      </c>
      <c r="AA223">
        <v>4.4999999999999997E-3</v>
      </c>
      <c r="AB223">
        <v>-5.7252879721405598E-3</v>
      </c>
      <c r="AC223">
        <v>9.1220198231982703E-3</v>
      </c>
      <c r="AD223">
        <v>1.4847307795338801E-2</v>
      </c>
      <c r="AE223">
        <v>1.8806589874095898E-2</v>
      </c>
      <c r="AF223">
        <v>1.31646129118671E-2</v>
      </c>
    </row>
    <row r="224" spans="1:32" x14ac:dyDescent="0.2">
      <c r="A224" s="1">
        <v>45535</v>
      </c>
      <c r="B224">
        <v>-4.2063535086552403E-2</v>
      </c>
      <c r="C224">
        <v>-8.8918695179253202E-2</v>
      </c>
      <c r="D224">
        <v>1.8925123237808799E-2</v>
      </c>
      <c r="E224">
        <v>-6.6465767903042599E-4</v>
      </c>
      <c r="F224">
        <v>-3.6112752858466997E-2</v>
      </c>
      <c r="G224">
        <v>-3.35461396688558E-2</v>
      </c>
      <c r="H224">
        <v>4.5391681472406603E-2</v>
      </c>
      <c r="I224">
        <v>4.4345802086599197E-2</v>
      </c>
      <c r="J224">
        <v>-9.67734006654942E-3</v>
      </c>
      <c r="K224">
        <v>-5.3619475094570997E-2</v>
      </c>
      <c r="L224">
        <v>1.1175798579425999E-2</v>
      </c>
      <c r="M224">
        <v>6.9927587575324301E-2</v>
      </c>
      <c r="N224">
        <v>-3.7329703141760297E-2</v>
      </c>
      <c r="O224">
        <v>-5.8039440974191003E-2</v>
      </c>
      <c r="P224">
        <v>6.3739926381408504E-2</v>
      </c>
      <c r="Q224">
        <v>9.5815004112203103E-2</v>
      </c>
      <c r="R224">
        <v>2.97</v>
      </c>
      <c r="S224">
        <v>-2.06</v>
      </c>
      <c r="T224">
        <v>-0.83</v>
      </c>
      <c r="U224">
        <v>0.48</v>
      </c>
      <c r="V224">
        <v>0.90515000000000001</v>
      </c>
      <c r="W224">
        <v>-2.0135317997293602E-2</v>
      </c>
      <c r="X224">
        <v>2.9700000000000001E-2</v>
      </c>
      <c r="Y224">
        <v>-2.06E-2</v>
      </c>
      <c r="Z224">
        <v>-8.3000000000000001E-3</v>
      </c>
      <c r="AA224">
        <v>4.7999999999999996E-3</v>
      </c>
      <c r="AB224">
        <v>-1.5431967523680701E-2</v>
      </c>
      <c r="AC224">
        <v>1.36700135317998E-2</v>
      </c>
      <c r="AD224">
        <v>2.9101981055480501E-2</v>
      </c>
      <c r="AE224">
        <v>-2.01852124492558E-2</v>
      </c>
      <c r="AF224">
        <v>-8.1328768606224594E-3</v>
      </c>
    </row>
    <row r="225" spans="1:32" x14ac:dyDescent="0.2">
      <c r="A225" s="1">
        <v>45565</v>
      </c>
      <c r="B225">
        <v>-5.8876736407322203E-3</v>
      </c>
      <c r="C225">
        <v>-7.8580052483240403E-2</v>
      </c>
      <c r="D225">
        <v>1.1900263096079699E-2</v>
      </c>
      <c r="E225">
        <v>-1.2362442743592E-2</v>
      </c>
      <c r="F225">
        <v>-4.6765900756627198E-2</v>
      </c>
      <c r="G225">
        <v>-3.6197333147836602E-2</v>
      </c>
      <c r="H225">
        <v>3.2670649387862599E-2</v>
      </c>
      <c r="I225">
        <v>2.3687237497085199E-2</v>
      </c>
      <c r="J225">
        <v>-3.4601293105550601E-2</v>
      </c>
      <c r="K225">
        <v>-4.7549149455758999E-2</v>
      </c>
      <c r="L225">
        <v>8.5229767044970404E-3</v>
      </c>
      <c r="M225">
        <v>5.7185733511234099E-2</v>
      </c>
      <c r="N225">
        <v>-7.1279068820435096E-2</v>
      </c>
      <c r="O225">
        <v>-5.3834972911909897E-2</v>
      </c>
      <c r="P225">
        <v>4.8070454864741097E-2</v>
      </c>
      <c r="Q225">
        <v>8.3135574693598599E-2</v>
      </c>
      <c r="R225">
        <v>0.48</v>
      </c>
      <c r="S225">
        <v>-0.44</v>
      </c>
      <c r="T225">
        <v>1.74</v>
      </c>
      <c r="U225">
        <v>0.4</v>
      </c>
      <c r="V225">
        <v>0.89810000000000001</v>
      </c>
      <c r="W225">
        <v>-7.7887642932110701E-3</v>
      </c>
      <c r="X225">
        <v>4.7999999999999996E-3</v>
      </c>
      <c r="Y225">
        <v>-4.4000000000000003E-3</v>
      </c>
      <c r="Z225">
        <v>1.7399999999999999E-2</v>
      </c>
      <c r="AA225">
        <v>4.0000000000000001E-3</v>
      </c>
      <c r="AB225">
        <v>-3.8199193503839499E-3</v>
      </c>
      <c r="AC225">
        <v>9.4269458100848503E-4</v>
      </c>
      <c r="AD225">
        <v>4.7626139313924299E-3</v>
      </c>
      <c r="AE225">
        <v>-4.3657294371098696E-3</v>
      </c>
      <c r="AF225">
        <v>1.7264475501298102E-2</v>
      </c>
    </row>
    <row r="226" spans="1:32" x14ac:dyDescent="0.2">
      <c r="A226" s="1">
        <v>45596</v>
      </c>
      <c r="B226">
        <v>-1.01316801439146E-2</v>
      </c>
      <c r="C226">
        <v>-6.3019511247781199E-2</v>
      </c>
      <c r="D226">
        <v>-1.6876535845165401E-2</v>
      </c>
      <c r="E226">
        <v>-3.2001562131877E-2</v>
      </c>
      <c r="F226">
        <v>-1.18432943258765E-2</v>
      </c>
      <c r="G226">
        <v>-1.5601917677559699E-2</v>
      </c>
      <c r="H226">
        <v>3.0134193844111399E-2</v>
      </c>
      <c r="I226">
        <v>3.6867273731894801E-2</v>
      </c>
      <c r="J226">
        <v>-1.2234039818863901E-2</v>
      </c>
      <c r="K226">
        <v>-2.3760662165080399E-2</v>
      </c>
      <c r="L226">
        <v>1.0420616503333801E-2</v>
      </c>
      <c r="M226">
        <v>6.2183997911006497E-2</v>
      </c>
      <c r="N226">
        <v>-5.2300224072290999E-2</v>
      </c>
      <c r="O226">
        <v>-3.2942357617007499E-2</v>
      </c>
      <c r="P226">
        <v>3.4421994615606598E-2</v>
      </c>
      <c r="Q226">
        <v>8.7899936458698605E-2</v>
      </c>
      <c r="R226">
        <v>-6.01</v>
      </c>
      <c r="S226">
        <v>-0.64</v>
      </c>
      <c r="T226">
        <v>1.39</v>
      </c>
      <c r="U226">
        <v>0.39</v>
      </c>
      <c r="V226">
        <v>0.91884999999999994</v>
      </c>
      <c r="W226">
        <v>2.31043313662176E-2</v>
      </c>
      <c r="X226">
        <v>-6.0100000000000001E-2</v>
      </c>
      <c r="Y226">
        <v>-6.4000000000000003E-3</v>
      </c>
      <c r="Z226">
        <v>1.3899999999999999E-2</v>
      </c>
      <c r="AA226">
        <v>3.8999999999999998E-3</v>
      </c>
      <c r="AB226">
        <v>2.7094438258545801E-2</v>
      </c>
      <c r="AC226">
        <v>-3.4394132056563803E-2</v>
      </c>
      <c r="AD226">
        <v>-6.1488570315109702E-2</v>
      </c>
      <c r="AE226">
        <v>-6.5478677207437899E-3</v>
      </c>
      <c r="AF226">
        <v>1.42211502059904E-2</v>
      </c>
    </row>
    <row r="227" spans="1:32" x14ac:dyDescent="0.2">
      <c r="A227" s="1">
        <v>45626</v>
      </c>
      <c r="B227">
        <v>-7.5267240815489302E-3</v>
      </c>
      <c r="C227">
        <v>1.0388433015182E-2</v>
      </c>
      <c r="D227">
        <v>-3.3404022362216201E-3</v>
      </c>
      <c r="E227">
        <v>-8.0108340667542598E-3</v>
      </c>
      <c r="F227">
        <v>-7.9861434325083497E-3</v>
      </c>
      <c r="G227">
        <v>2.72161100773852E-3</v>
      </c>
      <c r="H227">
        <v>1.53865485195748E-2</v>
      </c>
      <c r="I227">
        <v>4.5497794507527202E-2</v>
      </c>
      <c r="J227">
        <v>2.0581374226555601E-3</v>
      </c>
      <c r="K227">
        <v>1.12208321929588E-2</v>
      </c>
      <c r="L227">
        <v>1.7842026557146201E-2</v>
      </c>
      <c r="M227">
        <v>7.9902284498493403E-2</v>
      </c>
      <c r="N227">
        <v>-3.3186895292025002E-2</v>
      </c>
      <c r="O227">
        <v>3.0869535244891001E-3</v>
      </c>
      <c r="P227">
        <v>2.8642121864468201E-2</v>
      </c>
      <c r="Q227">
        <v>0.106815300164869</v>
      </c>
      <c r="R227">
        <v>-2.38</v>
      </c>
      <c r="S227">
        <v>-0.65</v>
      </c>
      <c r="T227">
        <v>0.27</v>
      </c>
      <c r="U227">
        <v>0.4</v>
      </c>
      <c r="V227">
        <v>0.94550000000000001</v>
      </c>
      <c r="W227">
        <v>2.90036458616749E-2</v>
      </c>
      <c r="X227">
        <v>-2.3800000000000002E-2</v>
      </c>
      <c r="Y227">
        <v>-6.4999999999999997E-3</v>
      </c>
      <c r="Z227">
        <v>2.7000000000000001E-3</v>
      </c>
      <c r="AA227">
        <v>4.0000000000000001E-3</v>
      </c>
      <c r="AB227">
        <v>3.3119660445121601E-2</v>
      </c>
      <c r="AC227">
        <v>8.6293736736135999E-3</v>
      </c>
      <c r="AD227">
        <v>-2.4490286771508E-2</v>
      </c>
      <c r="AE227">
        <v>-6.6885236981008896E-3</v>
      </c>
      <c r="AF227">
        <v>2.77830984382652E-3</v>
      </c>
    </row>
    <row r="228" spans="1:32" x14ac:dyDescent="0.2">
      <c r="A228" s="1">
        <v>45657</v>
      </c>
      <c r="B228">
        <v>-2.78084973363718E-2</v>
      </c>
      <c r="C228">
        <v>3.7054951101118498E-2</v>
      </c>
      <c r="D228">
        <v>-2.0885100925466002E-3</v>
      </c>
      <c r="E228">
        <v>-1.3736276655179999E-2</v>
      </c>
      <c r="F228">
        <v>-6.7107256017463904E-3</v>
      </c>
      <c r="G228">
        <v>1.38662713994344E-2</v>
      </c>
      <c r="H228">
        <v>-9.4467005018056299E-5</v>
      </c>
      <c r="I228">
        <v>2.3820216002409501E-2</v>
      </c>
      <c r="J228">
        <v>-1.14140284430629E-2</v>
      </c>
      <c r="K228">
        <v>2.3157077440259199E-2</v>
      </c>
      <c r="L228">
        <v>2.1076942476119201E-2</v>
      </c>
      <c r="M228">
        <v>6.4514261805368595E-2</v>
      </c>
      <c r="N228">
        <v>-2.3521806696034198E-2</v>
      </c>
      <c r="O228">
        <v>2.8337531429226501E-2</v>
      </c>
      <c r="P228">
        <v>3.5707688103683299E-2</v>
      </c>
      <c r="Q228">
        <v>9.6442153279399298E-2</v>
      </c>
      <c r="R228">
        <v>-2.42</v>
      </c>
      <c r="S228">
        <v>1.1000000000000001</v>
      </c>
      <c r="T228">
        <v>1.61</v>
      </c>
      <c r="U228">
        <v>0.37</v>
      </c>
      <c r="V228">
        <v>0.96584999999999999</v>
      </c>
      <c r="W228">
        <v>2.1523003701745098E-2</v>
      </c>
      <c r="X228">
        <v>-2.4199999999999999E-2</v>
      </c>
      <c r="Y228">
        <v>1.0999999999999999E-2</v>
      </c>
      <c r="Z228">
        <v>1.61E-2</v>
      </c>
      <c r="AA228">
        <v>3.7000000000000002E-3</v>
      </c>
      <c r="AB228">
        <v>2.5302638815441598E-2</v>
      </c>
      <c r="AC228">
        <v>5.8178212585935395E-4</v>
      </c>
      <c r="AD228">
        <v>-2.47208566895822E-2</v>
      </c>
      <c r="AE228">
        <v>1.1236753040719199E-2</v>
      </c>
      <c r="AF228">
        <v>1.64465203595981E-2</v>
      </c>
    </row>
    <row r="229" spans="1:32" x14ac:dyDescent="0.2">
      <c r="A229" s="1">
        <v>45688</v>
      </c>
      <c r="B229">
        <v>3.4724335960049098E-2</v>
      </c>
      <c r="C229">
        <v>6.8464834066335703E-2</v>
      </c>
      <c r="D229">
        <v>2.9355082914286099E-2</v>
      </c>
      <c r="E229">
        <v>-5.0317088651877203E-3</v>
      </c>
      <c r="F229">
        <v>7.3883240662483297E-3</v>
      </c>
      <c r="G229">
        <v>3.1419855946184801E-2</v>
      </c>
      <c r="H229">
        <v>5.2149526538059904E-3</v>
      </c>
      <c r="I229">
        <v>2.2533099513873601E-2</v>
      </c>
      <c r="J229">
        <v>1.57618204752509E-2</v>
      </c>
      <c r="K229">
        <v>4.2240301275232602E-2</v>
      </c>
      <c r="L229">
        <v>2.3527644956460599E-2</v>
      </c>
      <c r="M229">
        <v>4.4770340792374602E-2</v>
      </c>
      <c r="N229">
        <v>-1.1541858077830701E-2</v>
      </c>
      <c r="O229">
        <v>3.9601896810152297E-2</v>
      </c>
      <c r="P229">
        <v>3.6565374279544198E-2</v>
      </c>
      <c r="Q229">
        <v>7.5135876550989703E-2</v>
      </c>
      <c r="R229">
        <v>5.83</v>
      </c>
      <c r="S229">
        <v>-3.63</v>
      </c>
      <c r="T229">
        <v>-0.2</v>
      </c>
      <c r="U229">
        <v>0.37</v>
      </c>
      <c r="V229">
        <v>0.96494999999999997</v>
      </c>
      <c r="W229">
        <v>-9.3182171144590197E-4</v>
      </c>
      <c r="X229">
        <v>5.8299999999999998E-2</v>
      </c>
      <c r="Y229">
        <v>-3.6299999999999999E-2</v>
      </c>
      <c r="Z229">
        <v>-2E-3</v>
      </c>
      <c r="AA229">
        <v>3.7000000000000002E-3</v>
      </c>
      <c r="AB229">
        <v>2.7647305482216798E-3</v>
      </c>
      <c r="AC229">
        <v>6.10104053424445E-2</v>
      </c>
      <c r="AD229">
        <v>5.8245674794222803E-2</v>
      </c>
      <c r="AE229">
        <v>-3.6266174871874501E-2</v>
      </c>
      <c r="AF229">
        <v>-1.99813635657711E-3</v>
      </c>
    </row>
    <row r="230" spans="1:32" x14ac:dyDescent="0.2">
      <c r="A230" s="1">
        <v>45716</v>
      </c>
      <c r="B230">
        <v>2.1916458132551601E-2</v>
      </c>
      <c r="C230">
        <v>6.79714356200153E-2</v>
      </c>
      <c r="D230">
        <v>4.7402724288778897E-2</v>
      </c>
      <c r="E230">
        <v>-1.22820541713925E-2</v>
      </c>
      <c r="F230">
        <v>5.39309085684729E-2</v>
      </c>
      <c r="G230">
        <v>3.5787111786393301E-2</v>
      </c>
      <c r="H230">
        <v>4.6409036657039798E-3</v>
      </c>
      <c r="I230">
        <v>6.6377859010749701E-3</v>
      </c>
      <c r="J230">
        <v>3.7951514704804498E-2</v>
      </c>
      <c r="K230">
        <v>5.2183808881601498E-2</v>
      </c>
      <c r="L230">
        <v>2.51839482708292E-2</v>
      </c>
      <c r="M230">
        <v>4.39341865350995E-2</v>
      </c>
      <c r="N230">
        <v>8.6189617255327099E-3</v>
      </c>
      <c r="O230">
        <v>4.3518612228051097E-2</v>
      </c>
      <c r="P230">
        <v>4.9264771161311303E-2</v>
      </c>
      <c r="Q230">
        <v>5.5320458150764598E-2</v>
      </c>
      <c r="R230">
        <v>2.68</v>
      </c>
      <c r="S230">
        <v>-2.76</v>
      </c>
      <c r="T230">
        <v>4.25</v>
      </c>
      <c r="U230">
        <v>0.33</v>
      </c>
      <c r="V230">
        <v>0.96379999999999999</v>
      </c>
      <c r="W230">
        <v>-1.1917715943831099E-3</v>
      </c>
      <c r="X230">
        <v>2.6800000000000001E-2</v>
      </c>
      <c r="Y230">
        <v>-2.76E-2</v>
      </c>
      <c r="Z230">
        <v>4.2500000000000003E-2</v>
      </c>
      <c r="AA230">
        <v>3.3E-3</v>
      </c>
      <c r="AB230">
        <v>2.1042955593555401E-3</v>
      </c>
      <c r="AC230">
        <v>2.88723560806259E-2</v>
      </c>
      <c r="AD230">
        <v>2.6768060521270301E-2</v>
      </c>
      <c r="AE230">
        <v>-2.7567107103995001E-2</v>
      </c>
      <c r="AF230">
        <v>4.2449349707238702E-2</v>
      </c>
    </row>
    <row r="231" spans="1:32" x14ac:dyDescent="0.2">
      <c r="A231" s="1">
        <v>45747</v>
      </c>
      <c r="B231">
        <v>5.8070110511827797E-2</v>
      </c>
      <c r="C231">
        <v>7.0520199005536799E-2</v>
      </c>
      <c r="D231">
        <v>7.0937273085686398E-2</v>
      </c>
      <c r="E231">
        <v>-1.1955295162456501E-2</v>
      </c>
      <c r="F231">
        <v>8.8138440836046203E-2</v>
      </c>
      <c r="G231">
        <v>4.7183111643171301E-2</v>
      </c>
      <c r="H231">
        <v>2.30460244128022E-2</v>
      </c>
      <c r="I231">
        <v>-4.2289516335442603E-3</v>
      </c>
      <c r="J231">
        <v>0.105326073432731</v>
      </c>
      <c r="K231">
        <v>5.9478342947173003E-2</v>
      </c>
      <c r="L231">
        <v>3.6428151920392102E-2</v>
      </c>
      <c r="M231">
        <v>5.2117585592608102E-2</v>
      </c>
      <c r="N231">
        <v>6.2731571089269897E-2</v>
      </c>
      <c r="O231">
        <v>5.7281541387990902E-2</v>
      </c>
      <c r="P231">
        <v>6.4167865275564201E-2</v>
      </c>
      <c r="Q231">
        <v>5.3060770432391699E-2</v>
      </c>
      <c r="R231">
        <v>-0.15</v>
      </c>
      <c r="S231">
        <v>0.65</v>
      </c>
      <c r="T231">
        <v>5.54</v>
      </c>
      <c r="U231">
        <v>0.34</v>
      </c>
      <c r="V231">
        <v>0.92444999999999999</v>
      </c>
      <c r="W231">
        <v>-4.0827972608425002E-2</v>
      </c>
      <c r="X231">
        <v>-1.5E-3</v>
      </c>
      <c r="Y231">
        <v>6.4999999999999997E-3</v>
      </c>
      <c r="Z231">
        <v>5.5399999999999998E-2</v>
      </c>
      <c r="AA231">
        <v>3.3999999999999998E-3</v>
      </c>
      <c r="AB231">
        <v>-3.7566787715293502E-2</v>
      </c>
      <c r="AC231">
        <v>-3.9005545756380898E-2</v>
      </c>
      <c r="AD231">
        <v>-1.4387580410874E-3</v>
      </c>
      <c r="AE231">
        <v>6.2346181780452399E-3</v>
      </c>
      <c r="AF231">
        <v>5.3138130317493301E-2</v>
      </c>
    </row>
    <row r="232" spans="1:32" x14ac:dyDescent="0.2">
      <c r="A232" s="1">
        <v>45777</v>
      </c>
      <c r="B232">
        <v>-4.4477805932319403E-3</v>
      </c>
      <c r="C232">
        <v>7.6384286197646104E-2</v>
      </c>
      <c r="D232">
        <v>6.7982576007936599E-2</v>
      </c>
      <c r="E232">
        <v>-5.19986979835187E-3</v>
      </c>
      <c r="F232">
        <v>6.1835307577885398E-2</v>
      </c>
      <c r="G232">
        <v>3.4283775769111902E-2</v>
      </c>
      <c r="H232">
        <v>2.42039955854201E-2</v>
      </c>
      <c r="I232">
        <v>2.6859942527356099E-3</v>
      </c>
      <c r="J232">
        <v>8.1165132097647794E-2</v>
      </c>
      <c r="K232">
        <v>3.42144464302062E-2</v>
      </c>
      <c r="L232">
        <v>3.9526417753676303E-2</v>
      </c>
      <c r="M232">
        <v>6.3391292352851805E-2</v>
      </c>
      <c r="N232">
        <v>7.1751471123757002E-2</v>
      </c>
      <c r="O232">
        <v>5.0823996473363102E-2</v>
      </c>
      <c r="P232">
        <v>5.2864007899640499E-2</v>
      </c>
      <c r="Q232">
        <v>6.1263674775537701E-2</v>
      </c>
      <c r="R232">
        <v>3.97</v>
      </c>
      <c r="S232">
        <v>2.1</v>
      </c>
      <c r="T232">
        <v>-0.77</v>
      </c>
      <c r="U232">
        <v>0.35</v>
      </c>
      <c r="V232">
        <v>0.88270000000000004</v>
      </c>
      <c r="W232">
        <v>-4.51619882092055E-2</v>
      </c>
      <c r="X232">
        <v>3.9699999999999999E-2</v>
      </c>
      <c r="Y232">
        <v>2.1000000000000001E-2</v>
      </c>
      <c r="Z232">
        <v>-7.7000000000000002E-3</v>
      </c>
      <c r="AA232">
        <v>3.5000000000000001E-3</v>
      </c>
      <c r="AB232">
        <v>-4.1820055167937603E-2</v>
      </c>
      <c r="AC232">
        <v>-3.9129860998430299E-3</v>
      </c>
      <c r="AD232">
        <v>3.7907069068094601E-2</v>
      </c>
      <c r="AE232">
        <v>2.0051598247606699E-2</v>
      </c>
      <c r="AF232">
        <v>-7.3522526907891196E-3</v>
      </c>
    </row>
    <row r="233" spans="1:32" x14ac:dyDescent="0.2">
      <c r="A233" s="1">
        <v>45808</v>
      </c>
      <c r="B233">
        <v>-2.2766800712123E-2</v>
      </c>
      <c r="C233">
        <v>2.8633095578101599E-2</v>
      </c>
      <c r="D233">
        <v>6.6897859350600594E-2</v>
      </c>
      <c r="E233">
        <v>1.6247351239986801E-2</v>
      </c>
      <c r="F233">
        <v>-1.1328644613495101E-2</v>
      </c>
      <c r="G233">
        <v>1.6743288486585801E-2</v>
      </c>
      <c r="H233">
        <v>1.8993263486296898E-2</v>
      </c>
      <c r="I233">
        <v>-8.7811952388661097E-4</v>
      </c>
      <c r="J233">
        <v>2.2892158005020799E-2</v>
      </c>
      <c r="K233">
        <v>2.1119240676019699E-3</v>
      </c>
      <c r="L233">
        <v>3.8826261787319502E-2</v>
      </c>
      <c r="M233">
        <v>6.2684861782040802E-2</v>
      </c>
      <c r="N233">
        <v>2.38779244363343E-2</v>
      </c>
      <c r="O233">
        <v>2.08984033939312E-2</v>
      </c>
      <c r="P233">
        <v>5.7509477418590603E-2</v>
      </c>
      <c r="Q233">
        <v>6.7113087467882596E-2</v>
      </c>
      <c r="R233">
        <v>4.9000000000000004</v>
      </c>
      <c r="S233">
        <v>0.98</v>
      </c>
      <c r="T233">
        <v>1.42</v>
      </c>
      <c r="U233">
        <v>0.38</v>
      </c>
      <c r="V233">
        <v>0.88119999999999998</v>
      </c>
      <c r="W233">
        <v>-1.6993315962389201E-3</v>
      </c>
      <c r="X233">
        <v>4.9000000000000002E-2</v>
      </c>
      <c r="Y233">
        <v>9.7999999999999997E-3</v>
      </c>
      <c r="Z233">
        <v>1.4200000000000001E-2</v>
      </c>
      <c r="AA233">
        <v>3.8E-3</v>
      </c>
      <c r="AB233">
        <v>2.0942109436954399E-3</v>
      </c>
      <c r="AC233">
        <v>5.1010943695479503E-2</v>
      </c>
      <c r="AD233">
        <v>4.8916732751784098E-2</v>
      </c>
      <c r="AE233">
        <v>9.7833465503568608E-3</v>
      </c>
      <c r="AF233">
        <v>1.41758694913334E-2</v>
      </c>
    </row>
    <row r="234" spans="1:32" x14ac:dyDescent="0.2">
      <c r="A234" s="1">
        <v>45838</v>
      </c>
      <c r="B234">
        <v>-2.5172394662825798E-2</v>
      </c>
      <c r="C234">
        <v>8.0661027007881293E-3</v>
      </c>
      <c r="D234">
        <v>6.0384585281450603E-2</v>
      </c>
      <c r="E234">
        <v>2.2175866423824801E-2</v>
      </c>
      <c r="F234">
        <v>-5.2864571103428001E-2</v>
      </c>
      <c r="G234">
        <v>8.8052599073118396E-3</v>
      </c>
      <c r="H234">
        <v>1.8364271277156299E-2</v>
      </c>
      <c r="I234">
        <v>-9.4339149797942091E-3</v>
      </c>
      <c r="J234">
        <v>-5.7348771045355698E-2</v>
      </c>
      <c r="K234">
        <v>-1.4248760669951101E-2</v>
      </c>
      <c r="L234">
        <v>2.64084044557047E-2</v>
      </c>
      <c r="M234">
        <v>6.4271661054799104E-2</v>
      </c>
      <c r="N234">
        <v>-6.0508702074706398E-2</v>
      </c>
      <c r="O234">
        <v>-1.9109406897900898E-2</v>
      </c>
      <c r="P234">
        <v>5.34762369064197E-2</v>
      </c>
      <c r="Q234">
        <v>6.9563505533022194E-2</v>
      </c>
      <c r="R234">
        <v>2.72</v>
      </c>
      <c r="S234">
        <v>2.76</v>
      </c>
      <c r="T234">
        <v>0.8</v>
      </c>
      <c r="U234">
        <v>0.34</v>
      </c>
      <c r="V234">
        <v>0.84835000000000005</v>
      </c>
      <c r="W234">
        <v>-3.7278710848842399E-2</v>
      </c>
      <c r="X234">
        <v>2.7199999999999998E-2</v>
      </c>
      <c r="Y234">
        <v>2.76E-2</v>
      </c>
      <c r="Z234">
        <v>8.0000000000000002E-3</v>
      </c>
      <c r="AA234">
        <v>3.3999999999999998E-3</v>
      </c>
      <c r="AB234">
        <v>-3.4005458465728299E-2</v>
      </c>
      <c r="AC234">
        <v>-7.8194394008167505E-3</v>
      </c>
      <c r="AD234">
        <v>2.6186019064911598E-2</v>
      </c>
      <c r="AE234">
        <v>2.65711075805719E-2</v>
      </c>
      <c r="AF234">
        <v>7.7017703132092599E-3</v>
      </c>
    </row>
    <row r="235" spans="1:32" x14ac:dyDescent="0.2">
      <c r="A235" s="1">
        <v>45869</v>
      </c>
      <c r="B235">
        <v>-3.8473978358085602E-2</v>
      </c>
      <c r="C235">
        <v>-4.6816565815136699E-2</v>
      </c>
      <c r="D235">
        <v>8.2771642564587897E-2</v>
      </c>
      <c r="E235">
        <v>1.98960272584397E-2</v>
      </c>
      <c r="F235">
        <v>-5.5398397922658799E-2</v>
      </c>
      <c r="G235">
        <v>-4.40795325848687E-3</v>
      </c>
      <c r="H235">
        <v>2.5435984241696098E-3</v>
      </c>
      <c r="I235">
        <v>-1.49348701291202E-2</v>
      </c>
      <c r="J235">
        <v>-5.5845952205459397E-2</v>
      </c>
      <c r="K235">
        <v>-2.2581696653160101E-2</v>
      </c>
      <c r="L235">
        <v>1.25662659006858E-2</v>
      </c>
      <c r="M235">
        <v>7.2779499567102501E-2</v>
      </c>
      <c r="N235">
        <v>-8.4181847236607002E-2</v>
      </c>
      <c r="O235">
        <v>-2.55573088469448E-2</v>
      </c>
      <c r="P235">
        <v>5.4134836455464401E-2</v>
      </c>
      <c r="Q235">
        <v>6.6947063877980301E-2</v>
      </c>
      <c r="R235">
        <v>-2.6</v>
      </c>
      <c r="S235">
        <v>0.28000000000000003</v>
      </c>
      <c r="T235">
        <v>2.68</v>
      </c>
      <c r="U235">
        <v>0.35</v>
      </c>
      <c r="V235">
        <v>0.876</v>
      </c>
      <c r="W235">
        <v>3.2592679908056699E-2</v>
      </c>
      <c r="X235">
        <v>-2.5999999999999999E-2</v>
      </c>
      <c r="Y235">
        <v>2.8E-3</v>
      </c>
      <c r="Z235">
        <v>2.6800000000000001E-2</v>
      </c>
      <c r="AA235">
        <v>3.5000000000000001E-3</v>
      </c>
      <c r="AB235">
        <v>3.6206754287734899E-2</v>
      </c>
      <c r="AC235">
        <v>9.3593446101254401E-3</v>
      </c>
      <c r="AD235">
        <v>-2.6847409677609499E-2</v>
      </c>
      <c r="AE235">
        <v>2.89125950374256E-3</v>
      </c>
      <c r="AF235">
        <v>2.7673483821535901E-2</v>
      </c>
    </row>
    <row r="236" spans="1:32" x14ac:dyDescent="0.2">
      <c r="A236" s="1">
        <v>45900</v>
      </c>
      <c r="B236">
        <v>-6.9140250552354496E-2</v>
      </c>
      <c r="C236">
        <v>-5.9280437439539001E-2</v>
      </c>
      <c r="D236">
        <v>6.1078215091639902E-2</v>
      </c>
      <c r="E236">
        <v>1.5664227379630101E-2</v>
      </c>
      <c r="F236">
        <v>-4.4813569120989903E-2</v>
      </c>
      <c r="G236">
        <v>-1.2215412309387301E-2</v>
      </c>
      <c r="H236">
        <v>-5.7192988009570796E-3</v>
      </c>
      <c r="I236">
        <v>-2.3044086301373199E-2</v>
      </c>
      <c r="J236">
        <v>-6.0906717499296097E-2</v>
      </c>
      <c r="K236">
        <v>-3.0925788180571699E-2</v>
      </c>
      <c r="L236">
        <v>-2.3208551782655301E-3</v>
      </c>
      <c r="M236">
        <v>6.9658857578601394E-2</v>
      </c>
      <c r="N236">
        <v>-9.0902122492917806E-2</v>
      </c>
      <c r="O236">
        <v>-3.4645913563747799E-2</v>
      </c>
      <c r="P236">
        <v>3.6830114839626102E-2</v>
      </c>
      <c r="Q236">
        <v>8.8738788837393098E-2</v>
      </c>
      <c r="R236">
        <v>3.08</v>
      </c>
      <c r="S236">
        <v>-1.1200000000000001</v>
      </c>
      <c r="T236">
        <v>1.91</v>
      </c>
      <c r="U236">
        <v>0.38</v>
      </c>
      <c r="V236">
        <v>0.85575000000000001</v>
      </c>
      <c r="W236">
        <v>-2.31164383561644E-2</v>
      </c>
      <c r="X236">
        <v>3.0800000000000001E-2</v>
      </c>
      <c r="Y236">
        <v>-1.12E-2</v>
      </c>
      <c r="Z236">
        <v>1.9099999999999999E-2</v>
      </c>
      <c r="AA236">
        <v>3.8E-3</v>
      </c>
      <c r="AB236">
        <v>-1.9404280821917801E-2</v>
      </c>
      <c r="AC236">
        <v>1.0683732876712201E-2</v>
      </c>
      <c r="AD236">
        <v>3.0088013698630001E-2</v>
      </c>
      <c r="AE236">
        <v>-1.0941095890411E-2</v>
      </c>
      <c r="AF236">
        <v>1.86584760273973E-2</v>
      </c>
    </row>
    <row r="237" spans="1:32" x14ac:dyDescent="0.2">
      <c r="A237" s="1">
        <v>45930</v>
      </c>
      <c r="B237">
        <v>-0.101107770753221</v>
      </c>
      <c r="C237">
        <v>-8.06896400380719E-2</v>
      </c>
      <c r="D237">
        <v>6.85766196797193E-2</v>
      </c>
      <c r="E237">
        <v>2.58217825759933E-2</v>
      </c>
      <c r="F237">
        <v>-7.3890417345038206E-2</v>
      </c>
      <c r="G237">
        <v>-2.3059683946231702E-2</v>
      </c>
      <c r="H237">
        <v>2.71612487508625E-2</v>
      </c>
      <c r="I237">
        <v>-2.53664625101148E-2</v>
      </c>
      <c r="J237">
        <v>-3.1863406999395598E-2</v>
      </c>
      <c r="K237">
        <v>-5.4463681798668603E-2</v>
      </c>
      <c r="L237">
        <v>-2.91307123743318E-3</v>
      </c>
      <c r="M237">
        <v>4.9620137787540902E-2</v>
      </c>
      <c r="N237">
        <v>-5.9738882644867597E-2</v>
      </c>
      <c r="O237">
        <v>-6.2463476255692402E-2</v>
      </c>
      <c r="P237">
        <v>8.3214631584151207E-3</v>
      </c>
      <c r="Q237">
        <v>7.9587972402874102E-2</v>
      </c>
      <c r="R237">
        <v>1.22</v>
      </c>
      <c r="S237">
        <v>-1.36</v>
      </c>
      <c r="T237">
        <v>0.47</v>
      </c>
      <c r="U237">
        <v>0.33</v>
      </c>
      <c r="V237">
        <v>0.85224999999999995</v>
      </c>
      <c r="W237">
        <v>-4.0899795501022603E-3</v>
      </c>
      <c r="X237">
        <v>1.2200000000000001E-2</v>
      </c>
      <c r="Y237">
        <v>-1.3599999999999999E-2</v>
      </c>
      <c r="Z237">
        <v>4.7000000000000002E-3</v>
      </c>
      <c r="AA237">
        <v>3.3E-3</v>
      </c>
      <c r="AB237">
        <v>-8.0347648261747096E-4</v>
      </c>
      <c r="AC237">
        <v>1.13466257668713E-2</v>
      </c>
      <c r="AD237">
        <v>1.2150102249488801E-2</v>
      </c>
      <c r="AE237">
        <v>-1.35443762781186E-2</v>
      </c>
      <c r="AF237">
        <v>4.6807770961145197E-3</v>
      </c>
    </row>
    <row r="238" spans="1:32" x14ac:dyDescent="0.2">
      <c r="A238" s="1">
        <v>45961</v>
      </c>
      <c r="B238">
        <v>-4.5590149005878197E-2</v>
      </c>
      <c r="C238">
        <v>-9.64769743925422E-2</v>
      </c>
      <c r="D238">
        <v>2.5526580646621E-2</v>
      </c>
      <c r="E238">
        <v>0.104765914293335</v>
      </c>
      <c r="F238">
        <v>-5.2362735040063599E-2</v>
      </c>
      <c r="G238">
        <v>-3.2952683821351803E-2</v>
      </c>
      <c r="H238">
        <v>4.3798975042091397E-2</v>
      </c>
      <c r="I238">
        <v>-6.3902170378774395E-2</v>
      </c>
      <c r="J238">
        <v>-3.3116949588131897E-2</v>
      </c>
      <c r="K238">
        <v>-4.2487129516955997E-2</v>
      </c>
      <c r="L238">
        <v>4.2520094268388301E-3</v>
      </c>
      <c r="M238">
        <v>1.7336405674736301E-2</v>
      </c>
      <c r="N238">
        <v>-2.8634063044897198E-2</v>
      </c>
      <c r="O238">
        <v>-6.1164717859307098E-2</v>
      </c>
      <c r="P238">
        <v>1.6823155289187802E-2</v>
      </c>
      <c r="Q238">
        <v>7.8120568258093007E-2</v>
      </c>
      <c r="R238">
        <v>0.43</v>
      </c>
      <c r="S238">
        <v>-1.84</v>
      </c>
      <c r="T238">
        <v>0.02</v>
      </c>
      <c r="U238">
        <v>0.37</v>
      </c>
      <c r="V238">
        <v>0.8669</v>
      </c>
      <c r="W238">
        <v>1.7189791727779499E-2</v>
      </c>
      <c r="X238">
        <v>4.3E-3</v>
      </c>
      <c r="Y238">
        <v>-1.84E-2</v>
      </c>
      <c r="Z238">
        <v>2.0000000000000001E-4</v>
      </c>
      <c r="AA238">
        <v>3.7000000000000002E-3</v>
      </c>
      <c r="AB238">
        <v>2.09533939571722E-2</v>
      </c>
      <c r="AC238">
        <v>2.5327310061601601E-2</v>
      </c>
      <c r="AD238">
        <v>4.3739161044293899E-3</v>
      </c>
      <c r="AE238">
        <v>-1.8716292167791099E-2</v>
      </c>
      <c r="AF238">
        <v>2.0343795834555601E-4</v>
      </c>
    </row>
    <row r="239" spans="1:32" x14ac:dyDescent="0.2">
      <c r="A239" s="1">
        <v>45991</v>
      </c>
      <c r="B239">
        <v>1.1930802529349799E-2</v>
      </c>
      <c r="C239">
        <v>-0.11271640736996601</v>
      </c>
      <c r="D239">
        <v>2.60795228715179E-2</v>
      </c>
      <c r="E239">
        <v>0.11074466034588699</v>
      </c>
      <c r="F239">
        <v>-4.4898063427391499E-2</v>
      </c>
      <c r="G239">
        <v>-3.30770842208939E-2</v>
      </c>
      <c r="H239">
        <v>5.6899448527631298E-2</v>
      </c>
      <c r="I239">
        <v>-9.0050654947803399E-2</v>
      </c>
      <c r="J239">
        <v>5.0852466397566303E-3</v>
      </c>
      <c r="K239">
        <v>-3.8850733968474202E-2</v>
      </c>
      <c r="L239">
        <v>1.08821537077676E-2</v>
      </c>
      <c r="M239">
        <v>-5.22243675152258E-2</v>
      </c>
      <c r="N239">
        <v>7.8962791442363303E-3</v>
      </c>
      <c r="O239">
        <v>-6.4475261763704494E-2</v>
      </c>
      <c r="P239">
        <v>-1.28871761828208E-2</v>
      </c>
      <c r="Q239">
        <v>6.3425902674113599E-3</v>
      </c>
      <c r="R239">
        <v>0.72</v>
      </c>
      <c r="S239">
        <v>-1.43</v>
      </c>
      <c r="T239">
        <v>2.42</v>
      </c>
      <c r="U239">
        <v>0.3</v>
      </c>
      <c r="V239">
        <v>0.86234999999999995</v>
      </c>
      <c r="W239">
        <v>-5.2485869189065103E-3</v>
      </c>
      <c r="X239">
        <v>7.1999999999999998E-3</v>
      </c>
      <c r="Y239">
        <v>-1.43E-2</v>
      </c>
      <c r="Z239">
        <v>2.4199999999999999E-2</v>
      </c>
      <c r="AA239">
        <v>3.0000000000000001E-3</v>
      </c>
      <c r="AB239">
        <v>-2.26433267966331E-3</v>
      </c>
      <c r="AC239">
        <v>4.8978774945205297E-3</v>
      </c>
      <c r="AD239">
        <v>7.1622101741838397E-3</v>
      </c>
      <c r="AE239">
        <v>-1.42249452070596E-2</v>
      </c>
      <c r="AF239">
        <v>2.4072984196562501E-2</v>
      </c>
    </row>
    <row r="240" spans="1:32" x14ac:dyDescent="0.2">
      <c r="A240" s="1">
        <v>46022</v>
      </c>
      <c r="B240">
        <v>7.9530557048753697E-2</v>
      </c>
      <c r="C240">
        <v>-0.147399425313858</v>
      </c>
      <c r="D240">
        <v>-6.10782741674036E-2</v>
      </c>
      <c r="E240">
        <v>0.215958607107996</v>
      </c>
      <c r="F240">
        <v>4.9230162375133502E-2</v>
      </c>
      <c r="G240">
        <v>-3.3331329192151399E-2</v>
      </c>
      <c r="H240">
        <v>-5.8932507115568404E-3</v>
      </c>
      <c r="I240">
        <v>4.7433221041435401E-2</v>
      </c>
      <c r="J240">
        <v>5.3833817215116599E-3</v>
      </c>
      <c r="K240">
        <v>-2.5657713638625001E-3</v>
      </c>
      <c r="L240">
        <v>-5.8487565830658901E-2</v>
      </c>
      <c r="M240">
        <v>-6.4689263929887802E-2</v>
      </c>
      <c r="N240">
        <v>3.55863601329693E-2</v>
      </c>
      <c r="O240">
        <v>-5.1875322849108301E-3</v>
      </c>
      <c r="P240">
        <v>-9.2017773188905597E-2</v>
      </c>
      <c r="Q240">
        <v>-4.28217339299942E-2</v>
      </c>
      <c r="R240">
        <v>3.57</v>
      </c>
      <c r="S240">
        <v>-0.43</v>
      </c>
      <c r="T240">
        <v>3.24</v>
      </c>
      <c r="U240">
        <v>0.34</v>
      </c>
      <c r="V240">
        <v>0.85140000000000005</v>
      </c>
      <c r="W240">
        <v>-1.26978604974777E-2</v>
      </c>
      <c r="X240">
        <v>3.5700000000000003E-2</v>
      </c>
      <c r="Y240">
        <v>-4.3E-3</v>
      </c>
      <c r="Z240">
        <v>3.2399999999999998E-2</v>
      </c>
      <c r="AA240">
        <v>3.3999999999999998E-3</v>
      </c>
      <c r="AB240">
        <v>-9.3410332231690409E-3</v>
      </c>
      <c r="AC240">
        <v>2.5905653157071201E-2</v>
      </c>
      <c r="AD240">
        <v>3.52466863802402E-2</v>
      </c>
      <c r="AE240">
        <v>-4.2453991998608496E-3</v>
      </c>
      <c r="AF240">
        <v>3.1988589319881702E-2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README</vt:lpstr>
      <vt:lpstr>Results_WML</vt:lpstr>
      <vt:lpstr>Results_WML_minus_RF</vt:lpstr>
      <vt:lpstr>Alpha_Matrix_WML</vt:lpstr>
      <vt:lpstr>Alpha_T_Matrix_WML</vt:lpstr>
      <vt:lpstr>Alpha_P_Matrix_WML</vt:lpstr>
      <vt:lpstr>Alpha_Matrix_Excess</vt:lpstr>
      <vt:lpstr>Alpha_T_Matrix_Excess</vt:lpstr>
      <vt:lpstr>Alpha_P_Matrix_Excess</vt:lpstr>
      <vt:lpstr>Factor_Loadings</vt:lpstr>
      <vt:lpstr>Descriptive_Stats</vt:lpstr>
      <vt:lpstr>Data_Used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jakoblysdahl</dc:creator>
  <cp:lastModifiedBy>Jakob Emil Lysdahl Paulsen</cp:lastModifiedBy>
  <dcterms:created xsi:type="dcterms:W3CDTF">2026-04-25T15:16:13Z</dcterms:created>
  <dcterms:modified xsi:type="dcterms:W3CDTF">2026-04-29T10:13:31Z</dcterms:modified>
</cp:coreProperties>
</file>